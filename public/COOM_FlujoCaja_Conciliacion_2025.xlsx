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ujo_Caja_Mensual" sheetId="1" state="visible" r:id="rId3"/>
    <sheet name="Flujo_por_Categoria" sheetId="2" state="visible" r:id="rId4"/>
    <sheet name="Liquidaciones_Marcas" sheetId="3" state="visible" r:id="rId5"/>
    <sheet name="Conciliacion" sheetId="4" state="visible" r:id="rId6"/>
    <sheet name="Detalle_Movimiento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<sst xmlns="http://schemas.openxmlformats.org/spreadsheetml/2006/main" count="1583" uniqueCount="394">
  <si>
    <t xml:space="preserve">FLUJO DE CAJA COOM 2025</t>
  </si>
  <si>
    <t xml:space="preserve">Período: Enero 2025 - Enero 2026</t>
  </si>
  <si>
    <t xml:space="preserve">Fuente: Cartola BancoEstado</t>
  </si>
  <si>
    <t xml:space="preserve">Período</t>
  </si>
  <si>
    <t xml:space="preserve">Ingresos</t>
  </si>
  <si>
    <t xml:space="preserve">Egresos</t>
  </si>
  <si>
    <t xml:space="preserve">Flujo Neto</t>
  </si>
  <si>
    <t xml:space="preserve">Flujo Acumulado</t>
  </si>
  <si>
    <t xml:space="preserve">Saldo Inicial</t>
  </si>
  <si>
    <t xml:space="preserve">Jan-2025</t>
  </si>
  <si>
    <t xml:space="preserve">Feb-2025</t>
  </si>
  <si>
    <t xml:space="preserve">Mar-2025</t>
  </si>
  <si>
    <t xml:space="preserve">Apr-2025</t>
  </si>
  <si>
    <t xml:space="preserve">May-2025</t>
  </si>
  <si>
    <t xml:space="preserve">Jun-2025</t>
  </si>
  <si>
    <t xml:space="preserve">Jul-2025</t>
  </si>
  <si>
    <t xml:space="preserve">Aug-2025</t>
  </si>
  <si>
    <t xml:space="preserve">Sep-2025</t>
  </si>
  <si>
    <t xml:space="preserve">Oct-2025</t>
  </si>
  <si>
    <t xml:space="preserve">Nov-2025</t>
  </si>
  <si>
    <t xml:space="preserve">Dec-2025</t>
  </si>
  <si>
    <t xml:space="preserve">Jan-2026</t>
  </si>
  <si>
    <t xml:space="preserve">TOTALES</t>
  </si>
  <si>
    <t xml:space="preserve">ANÁLISIS DE FLUJO POR CATEGORÍA</t>
  </si>
  <si>
    <t xml:space="preserve">Clasificación de movimientos bancarios</t>
  </si>
  <si>
    <t xml:space="preserve">Categoría</t>
  </si>
  <si>
    <t xml:space="preserve">Neto</t>
  </si>
  <si>
    <t xml:space="preserve">Liq_Casakiro</t>
  </si>
  <si>
    <t xml:space="preserve">Liq_Aptiqa</t>
  </si>
  <si>
    <t xml:space="preserve">Arriendo</t>
  </si>
  <si>
    <t xml:space="preserve">Liq_Savia</t>
  </si>
  <si>
    <t xml:space="preserve">Liq_Monoco</t>
  </si>
  <si>
    <t xml:space="preserve">Honorarios_Personal</t>
  </si>
  <si>
    <t xml:space="preserve">Liq_Valeria</t>
  </si>
  <si>
    <t xml:space="preserve">Otros</t>
  </si>
  <si>
    <t xml:space="preserve">Liq_Endemica</t>
  </si>
  <si>
    <t xml:space="preserve">Liq_Florence</t>
  </si>
  <si>
    <t xml:space="preserve">Gastos_Admin</t>
  </si>
  <si>
    <t xml:space="preserve">Cotizaciones</t>
  </si>
  <si>
    <t xml:space="preserve">Ventas_Transbank</t>
  </si>
  <si>
    <t xml:space="preserve">TOTAL</t>
  </si>
  <si>
    <t xml:space="preserve">LIQUIDACIONES POR MARCA/SOCIA 2025</t>
  </si>
  <si>
    <t xml:space="preserve">Marca/Socia</t>
  </si>
  <si>
    <t xml:space="preserve">Tipo</t>
  </si>
  <si>
    <t xml:space="preserve">Total Liquidado</t>
  </si>
  <si>
    <t xml:space="preserve">CASAKIRO (Vania Ruiz)</t>
  </si>
  <si>
    <t xml:space="preserve">TERCERO</t>
  </si>
  <si>
    <t xml:space="preserve">APTIQA (Ana Nadjar) - SOCIA</t>
  </si>
  <si>
    <t xml:space="preserve">SOCIA</t>
  </si>
  <si>
    <t xml:space="preserve">SAVIA TEXTIL (Fabiana Persia) - SOCIA</t>
  </si>
  <si>
    <t xml:space="preserve">MONOCO (Mónica Pérez)</t>
  </si>
  <si>
    <t xml:space="preserve">VALERIA MARTINEZ</t>
  </si>
  <si>
    <t xml:space="preserve">ENDÉMICA (Magdalena Pérez)</t>
  </si>
  <si>
    <t xml:space="preserve">FLORENCE (Florence Collin) - SOCIA</t>
  </si>
  <si>
    <t xml:space="preserve">SUBTOTAL SOCIAS (Art. 17)</t>
  </si>
  <si>
    <t xml:space="preserve">SUBTOTAL TERCEROS</t>
  </si>
  <si>
    <t xml:space="preserve">TOTAL LIQUIDACIONES</t>
  </si>
  <si>
    <t xml:space="preserve">CONCILIACIÓN BANCARIA 2025</t>
  </si>
  <si>
    <t xml:space="preserve">Comparación Cartola vs Registros Contables</t>
  </si>
  <si>
    <t xml:space="preserve">SALDO INICIAL</t>
  </si>
  <si>
    <t xml:space="preserve">MOVIMIENTOS SEGÚN CARTOLA:</t>
  </si>
  <si>
    <t xml:space="preserve">(+) Total Ingresos</t>
  </si>
  <si>
    <t xml:space="preserve">(-) Total Egresos</t>
  </si>
  <si>
    <t xml:space="preserve">(=) Variación Neta</t>
  </si>
  <si>
    <t xml:space="preserve">SALDO FINAL CALCULADO</t>
  </si>
  <si>
    <t xml:space="preserve">CUADRATURA CON REGISTROS SII:</t>
  </si>
  <si>
    <t xml:space="preserve">Ingresos Cartola</t>
  </si>
  <si>
    <t xml:space="preserve">Ingresos RCV (Bol+Fact neto)</t>
  </si>
  <si>
    <t xml:space="preserve">Fuente: COOM_Cuadratura_SII_2025</t>
  </si>
  <si>
    <t xml:space="preserve">Diferencia</t>
  </si>
  <si>
    <t xml:space="preserve">DETALLE DE MOVIMIENTOS BANCARIOS</t>
  </si>
  <si>
    <t xml:space="preserve">Fecha</t>
  </si>
  <si>
    <t xml:space="preserve">Detalle</t>
  </si>
  <si>
    <t xml:space="preserve">Notas</t>
  </si>
  <si>
    <t xml:space="preserve">2025-01-02</t>
  </si>
  <si>
    <t xml:space="preserve">ABONO TRANSBANK TARJETA DEBITO</t>
  </si>
  <si>
    <t xml:space="preserve">TEF A RUIZ VILLARROEL VANIA</t>
  </si>
  <si>
    <t xml:space="preserve">Liquidacion dic Casakiro</t>
  </si>
  <si>
    <t xml:space="preserve">TEF BANCOESTADO A PEREZ ARAUS MERY</t>
  </si>
  <si>
    <t xml:space="preserve">2025-01-03</t>
  </si>
  <si>
    <t xml:space="preserve">TEF A PEREZ GUTIERREZ MONICA PATRIC</t>
  </si>
  <si>
    <t xml:space="preserve">Liquidacion dic Monoco</t>
  </si>
  <si>
    <t xml:space="preserve">TEF A MARTINEZ NAHUEL MARIA VALERIA</t>
  </si>
  <si>
    <t xml:space="preserve">Liquidacion dic Valeria Martinez</t>
  </si>
  <si>
    <t xml:space="preserve">2025-01-06</t>
  </si>
  <si>
    <t xml:space="preserve">TRANSF A B. ESTADO CTA CLIENTE</t>
  </si>
  <si>
    <t xml:space="preserve">Conservador de bienes raices</t>
  </si>
  <si>
    <t xml:space="preserve">2025-01-07</t>
  </si>
  <si>
    <t xml:space="preserve">TEF BANCOESTADO A CORTES TRONCOSO</t>
  </si>
  <si>
    <t xml:space="preserve">Sueldo Barbara dic</t>
  </si>
  <si>
    <t xml:space="preserve">TEF A PEREZ VERGARA MAGDALENA</t>
  </si>
  <si>
    <t xml:space="preserve">Liquidacion dic Endemica</t>
  </si>
  <si>
    <t xml:space="preserve">TEF A NIADA PERSIA DANTE PEDRO</t>
  </si>
  <si>
    <t xml:space="preserve">Sueldo Dante</t>
  </si>
  <si>
    <t xml:space="preserve">TEF BANCOESTADO A MORENO HARCHA BEL</t>
  </si>
  <si>
    <t xml:space="preserve">Sueldo Belen dic</t>
  </si>
  <si>
    <t xml:space="preserve">TEF A PORTILLA ACUNA MARIA LUISA</t>
  </si>
  <si>
    <t xml:space="preserve">Cotizacion social Mery Anne dic</t>
  </si>
  <si>
    <t xml:space="preserve">TEF A MIRANDA GONZALEZ JACQUELINE M</t>
  </si>
  <si>
    <t xml:space="preserve">Sueldo Jacqueline</t>
  </si>
  <si>
    <t xml:space="preserve">2025-01-08</t>
  </si>
  <si>
    <t xml:space="preserve">2025-01-09</t>
  </si>
  <si>
    <t xml:space="preserve">2025-01-10</t>
  </si>
  <si>
    <t xml:space="preserve">TEF A NADJAR SCHIRADO ANA ELISABETH</t>
  </si>
  <si>
    <t xml:space="preserve">Liquidación dic Ana/Aptiqa</t>
  </si>
  <si>
    <t xml:space="preserve">TEF A COLLIN FLORENCE MICHELE MARI</t>
  </si>
  <si>
    <t xml:space="preserve">Liquidación dic Florence</t>
  </si>
  <si>
    <t xml:space="preserve">TEF A PERSIA FABIANA LOURDES</t>
  </si>
  <si>
    <t xml:space="preserve">Liquidación dic Savia Textil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</si>
  <si>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</si>
  <si>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</si>
  <si>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</si>
  <si>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</si>
  <si>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</si>
  <si>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</si>
  <si>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IVA</t>
  </si>
  <si>
    <t xml:space="preserve">TEF A TERRITORIA APOQUINDO SA</t>
  </si>
  <si>
    <t xml:space="preserve">Renta Fija enero 2025</t>
  </si>
  <si>
    <t xml:space="preserve">TEF A RUT 77632962-2</t>
  </si>
  <si>
    <t xml:space="preserve">Contabilidad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</si>
  <si>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</si>
  <si>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</si>
  <si>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</si>
  <si>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</si>
  <si>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2025-01-27</t>
  </si>
  <si>
    <t xml:space="preserve">2025-01-28</t>
  </si>
  <si>
    <t xml:space="preserve">2025-01-29</t>
  </si>
  <si>
    <t xml:space="preserve">2025-01-30</t>
  </si>
  <si>
    <t xml:space="preserve">Abono Liquidacion enero Savia Textil</t>
  </si>
  <si>
    <t xml:space="preserve">2025-01-31</t>
  </si>
  <si>
    <t xml:space="preserve">2025-02-03</t>
  </si>
  <si>
    <t xml:space="preserve">2025-02-04</t>
  </si>
  <si>
    <t xml:space="preserve">2025-02-05</t>
  </si>
  <si>
    <t xml:space="preserve">2025-02-06</t>
  </si>
  <si>
    <t xml:space="preserve">TEF BANCOESTADO A CORTES TRONCOSO B</t>
  </si>
  <si>
    <t xml:space="preserve">2025-02-07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</si>
  <si>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</si>
  <si>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</si>
  <si>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</si>
  <si>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</si>
  <si>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TEF A PORTILLA AC...</t>
  </si>
  <si>
    <t xml:space="preserve">ABONO TRANSBANK T...</t>
  </si>
  <si>
    <t xml:space="preserve">2025-02-14</t>
  </si>
  <si>
    <t xml:space="preserve">2025-02-17</t>
  </si>
  <si>
    <t xml:space="preserve">TEF A MARTINEZ NA...</t>
  </si>
  <si>
    <t xml:space="preserve">TEF A PEREZ GUTIE...</t>
  </si>
  <si>
    <t xml:space="preserve">TEF A RUT 7763296...</t>
  </si>
  <si>
    <t xml:space="preserve">2025-02-18</t>
  </si>
  <si>
    <t xml:space="preserve">2025-02-19</t>
  </si>
  <si>
    <t xml:space="preserve">Firma Digital para documentos DAES dif 4</t>
  </si>
  <si>
    <t xml:space="preserve">2025-02-20</t>
  </si>
  <si>
    <t xml:space="preserve">Shopify + Google febrero</t>
  </si>
  <si>
    <t xml:space="preserve">TEF A TERRITORIA ...</t>
  </si>
  <si>
    <t xml:space="preserve">TRANSF A B. ESTAD...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</si>
  <si>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</si>
  <si>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</si>
  <si>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</si>
  <si>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</si>
  <si>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</si>
  <si>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</si>
  <si>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</si>
  <si>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149187</t>
  </si>
  <si>
    <t xml:space="preserve">2025-03-04</t>
  </si>
  <si>
    <t xml:space="preserve">TEF BANCOESTADO A...</t>
  </si>
  <si>
    <t xml:space="preserve">2025-03-05</t>
  </si>
  <si>
    <t xml:space="preserve">2025-03-06</t>
  </si>
  <si>
    <t xml:space="preserve">2025-03-07</t>
  </si>
  <si>
    <t xml:space="preserve">TEF A JULIO GALLARDO TATIANA PAMELA</t>
  </si>
  <si>
    <t xml:space="preserve">TEF A NIADA PERSIA LUZ LOURDES</t>
  </si>
  <si>
    <t xml:space="preserve">2025-03-10</t>
  </si>
  <si>
    <t xml:space="preserve">2025-03-11</t>
  </si>
  <si>
    <t xml:space="preserve">2025-03-12</t>
  </si>
  <si>
    <t xml:space="preserve">TEF DE PEREZ VERGARA MAGDALENA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</si>
  <si>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</si>
  <si>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</si>
  <si>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</si>
  <si>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</si>
  <si>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</si>
  <si>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</si>
  <si>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</si>
  <si>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</si>
  <si>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</si>
  <si>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</si>
  <si>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</si>
  <si>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</si>
  <si>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</si>
  <si>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</si>
  <si>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</si>
  <si>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</si>
  <si>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2025-04-04</t>
  </si>
  <si>
    <t xml:space="preserve">TRANSFERENCIA DESDE BANCO DE CHILE</t>
  </si>
  <si>
    <t xml:space="preserve">2025-05-05</t>
  </si>
  <si>
    <t xml:space="preserve">2025-05-06</t>
  </si>
  <si>
    <t xml:space="preserve">TEF DE GONZALEZ BARROS MILENA CONST</t>
  </si>
  <si>
    <t xml:space="preserve">TEF DE CONTRERAS PARRA MATILDE CRIS</t>
  </si>
  <si>
    <t xml:space="preserve">2025-05-07</t>
  </si>
  <si>
    <t xml:space="preserve">TEF A CENTONZIO ROSSEL GIOVANNA ELI</t>
  </si>
  <si>
    <t xml:space="preserve">TEF DE CENTONZIO ROSSEL GIOVANNA EL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</si>
  <si>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</si>
  <si>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</si>
  <si>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</si>
  <si>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</si>
  <si>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</si>
  <si>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</si>
  <si>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</si>
  <si>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</si>
  <si>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</si>
  <si>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</si>
  <si>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</si>
  <si>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</si>
  <si>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</si>
  <si>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</si>
  <si>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</si>
  <si>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</si>
  <si>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</si>
  <si>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2025-06-03</t>
  </si>
  <si>
    <t xml:space="preserve">2025-06-04</t>
  </si>
  <si>
    <t xml:space="preserve">2025-06-05</t>
  </si>
  <si>
    <t xml:space="preserve">ABONO VENTA PROVEEDOR MEDIO DE PAGO</t>
  </si>
  <si>
    <t xml:space="preserve">2025-06-06</t>
  </si>
  <si>
    <t xml:space="preserve">2025-06-09</t>
  </si>
  <si>
    <t xml:space="preserve">TEF DE MIRANDA GONZALEZ JACQUELINE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</si>
  <si>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</si>
  <si>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</si>
  <si>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</si>
  <si>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</si>
  <si>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</si>
  <si>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</si>
  <si>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</si>
  <si>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</si>
  <si>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</si>
  <si>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</si>
  <si>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</si>
  <si>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</si>
  <si>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</si>
  <si>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</si>
  <si>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</si>
  <si>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</si>
  <si>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</si>
  <si>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</si>
  <si>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6801412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</si>
  <si>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</si>
  <si>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</si>
  <si>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</si>
  <si>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</si>
  <si>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</si>
  <si>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</si>
  <si>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TEF BANCOESTADO A TRUJILLO BUSTOS L</t>
  </si>
  <si>
    <t xml:space="preserve">2025-07-15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</si>
  <si>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</si>
  <si>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</si>
  <si>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</si>
  <si>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</si>
  <si>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</si>
  <si>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</si>
  <si>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</si>
  <si>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</si>
  <si>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</si>
  <si>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</si>
  <si>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</si>
  <si>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</si>
  <si>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</si>
  <si>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</si>
  <si>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</si>
  <si>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</si>
  <si>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</si>
  <si>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TEF BANCOESTADO A BOCHKO</t>
  </si>
  <si>
    <t xml:space="preserve">2025-08-12</t>
  </si>
  <si>
    <t xml:space="preserve">2025-08-13</t>
  </si>
  <si>
    <t xml:space="preserve">2025-08-14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</si>
  <si>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</si>
  <si>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</si>
  <si>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</si>
  <si>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</si>
  <si>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</si>
  <si>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</si>
  <si>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</si>
  <si>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</si>
  <si>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</si>
  <si>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</si>
  <si>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</si>
  <si>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</si>
  <si>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</si>
  <si>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</si>
  <si>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</si>
  <si>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</si>
  <si>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TEF A DIAZ CLERC SOFIA AMPARO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</si>
  <si>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</si>
  <si>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</si>
  <si>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</si>
  <si>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</si>
  <si>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pago doble</t>
  </si>
  <si>
    <t xml:space="preserve">2025-09-15</t>
  </si>
  <si>
    <t xml:space="preserve">2025-09-16</t>
  </si>
  <si>
    <t xml:space="preserve">2025-09-17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</si>
  <si>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</si>
  <si>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</si>
  <si>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</si>
  <si>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</si>
  <si>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</si>
  <si>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</si>
  <si>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</si>
  <si>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</si>
  <si>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</si>
  <si>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</si>
  <si>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2025-10-06</t>
  </si>
  <si>
    <t xml:space="preserve">TEF A MIRANDA GONZALEZ J</t>
  </si>
  <si>
    <t xml:space="preserve">TEF A NIADA PERSIA LUZ L</t>
  </si>
  <si>
    <t xml:space="preserve">TEF A DIAZ CLERC SOFIA A</t>
  </si>
  <si>
    <t xml:space="preserve">TEF A PORTILLA ACUNA MAR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</si>
  <si>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</si>
  <si>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</si>
  <si>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</si>
  <si>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</si>
  <si>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2025-10-13</t>
  </si>
  <si>
    <t xml:space="preserve">el monto real es de 772650</t>
  </si>
  <si>
    <t xml:space="preserve">no es el monto  812977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</si>
  <si>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</si>
  <si>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</si>
  <si>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</si>
  <si>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</si>
  <si>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</si>
  <si>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</si>
  <si>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</si>
  <si>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</si>
  <si>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</si>
  <si>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</si>
  <si>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</si>
  <si>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</si>
  <si>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</si>
  <si>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</si>
  <si>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</si>
  <si>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</si>
  <si>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</si>
  <si>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TEF A ZUNIGA JIMENEZ MARIA JOSE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</si>
  <si>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</si>
  <si>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</si>
  <si>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</si>
  <si>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</si>
  <si>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</si>
  <si>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</si>
  <si>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PAGO PUNTO PAGOSCOMPRAQUI WEB</t>
  </si>
  <si>
    <t xml:space="preserve">2025-11-18</t>
  </si>
  <si>
    <t xml:space="preserve">2025-11-19</t>
  </si>
  <si>
    <t xml:space="preserve">2025-11-20</t>
  </si>
  <si>
    <t xml:space="preserve">TRANSF A B ESTADO CTA CLIENTE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</si>
  <si>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</si>
  <si>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</si>
  <si>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</si>
  <si>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</si>
  <si>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</si>
  <si>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</si>
  <si>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</si>
  <si>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</si>
  <si>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</si>
  <si>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</si>
  <si>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</si>
  <si>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2025-12-09</t>
  </si>
  <si>
    <t xml:space="preserve">TEF DE GALLARDO GONZALEZ MARIELA PA</t>
  </si>
  <si>
    <t xml:space="preserve">2025-12-10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</si>
  <si>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</si>
  <si>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</si>
  <si>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</si>
  <si>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</si>
  <si>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TIENE -1</t>
  </si>
  <si>
    <t xml:space="preserve">2025-12-23</t>
  </si>
  <si>
    <t xml:space="preserve">2025-12-24</t>
  </si>
  <si>
    <t xml:space="preserve">DIF -180</t>
  </si>
  <si>
    <t xml:space="preserve">2025-12-26</t>
  </si>
  <si>
    <t xml:space="preserve">2025-12-29</t>
  </si>
  <si>
    <t xml:space="preserve">2025-12-30</t>
  </si>
  <si>
    <t xml:space="preserve">2026-01-02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</si>
  <si>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</si>
  <si>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</si>
  <si>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</si>
  <si>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</si>
  <si>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</si>
  <si>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</si>
  <si>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</si>
  <si>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TEF BANCOESTADO DE SANCLEMENTE DELG</t>
  </si>
  <si>
    <t xml:space="preserve">2026-01-14</t>
  </si>
  <si>
    <t xml:space="preserve">2026-01-15</t>
  </si>
  <si>
    <t xml:space="preserve">2026-01-16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</si>
  <si>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</si>
  <si>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</si>
  <si>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</si>
  <si>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</si>
  <si>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</si>
  <si>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</si>
  <si>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TEF DE TRANSBANK SA</t>
  </si>
  <si>
    <t xml:space="preserve">2026-01-27</t>
  </si>
  <si>
    <t xml:space="preserve">2026-01-28</t>
  </si>
  <si>
    <t xml:space="preserve">2026-01-29</t>
  </si>
  <si>
    <t xml:space="preserve">2026-01-30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</si>
</sst>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6DCE4"/>
        <bgColor rgb="FFE2EFDA"/>
      </patternFill>
    </fill>
    <fill>
      <patternFill patternType="solid">
        <fgColor rgb="FFE2EFDA"/>
        <bgColor rgb="FFD6DC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5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5" customFormat="false" ht="15" hidden="false" customHeight="false" outlineLevel="0" collapsed="false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</row>
    <row r="6" customFormat="false" ht="15" hidden="false" customHeight="false" outlineLevel="0" collapsed="false">
      <c r="A6" s="0" t="s">
        <v>8</v>
      </c>
      <c r="E6" s="3" t="n">
        <v>9148054</v>
      </c>
    </row>
    <row r="7" customFormat="false" ht="15" hidden="false" customHeight="false" outlineLevel="0" collapsed="false">
      <c r="A7" s="4" t="s">
        <v>9</v>
      </c>
      <c r="B7" s="5" t="n">
        <v>6466210</v>
      </c>
      <c r="C7" s="5" t="n">
        <v>9985716</v>
      </c>
      <c r="D7" s="5" t="n">
        <f aca="false">B7-C7</f>
        <v>-3519506</v>
      </c>
      <c r="E7" s="5" t="n">
        <f aca="false">E6+D7</f>
        <v>5628548</v>
      </c>
    </row>
    <row r="8" customFormat="false" ht="15" hidden="false" customHeight="false" outlineLevel="0" collapsed="false">
      <c r="A8" s="4" t="s">
        <v>10</v>
      </c>
      <c r="B8" s="5" t="n">
        <v>5382377</v>
      </c>
      <c r="C8" s="5" t="n">
        <v>5990653</v>
      </c>
      <c r="D8" s="5" t="n">
        <f aca="false">B8-C8</f>
        <v>-608276</v>
      </c>
      <c r="E8" s="5" t="n">
        <f aca="false">E7+D8</f>
        <v>5020272</v>
      </c>
    </row>
    <row r="9" customFormat="false" ht="15" hidden="false" customHeight="false" outlineLevel="0" collapsed="false">
      <c r="A9" s="4" t="s">
        <v>11</v>
      </c>
      <c r="B9" s="5" t="n">
        <v>8470232</v>
      </c>
      <c r="C9" s="5" t="n">
        <v>5854339</v>
      </c>
      <c r="D9" s="5" t="n">
        <f aca="false">B9-C9</f>
        <v>2615893</v>
      </c>
      <c r="E9" s="5" t="n">
        <f aca="false">E8+D9</f>
        <v>7636165</v>
      </c>
    </row>
    <row r="10" customFormat="false" ht="15" hidden="false" customHeight="false" outlineLevel="0" collapsed="false">
      <c r="A10" s="4" t="s">
        <v>12</v>
      </c>
      <c r="B10" s="5" t="n">
        <v>922.997</v>
      </c>
      <c r="C10" s="5" t="n">
        <v>13.59</v>
      </c>
      <c r="D10" s="5" t="n">
        <f aca="false">B10-C10</f>
        <v>909.407</v>
      </c>
      <c r="E10" s="5" t="n">
        <f aca="false">E9+D10</f>
        <v>7637074.407</v>
      </c>
    </row>
    <row r="11" customFormat="false" ht="15" hidden="false" customHeight="false" outlineLevel="0" collapsed="false">
      <c r="A11" s="4" t="s">
        <v>13</v>
      </c>
      <c r="B11" s="5" t="n">
        <v>6903081.647</v>
      </c>
      <c r="C11" s="5" t="n">
        <v>2949289.359</v>
      </c>
      <c r="D11" s="5" t="n">
        <f aca="false">B11-C11</f>
        <v>3953792.288</v>
      </c>
      <c r="E11" s="5" t="n">
        <f aca="false">E10+D11</f>
        <v>11590866.695</v>
      </c>
    </row>
    <row r="12" customFormat="false" ht="15" hidden="false" customHeight="false" outlineLevel="0" collapsed="false">
      <c r="A12" s="4" t="s">
        <v>14</v>
      </c>
      <c r="B12" s="5" t="n">
        <v>6897611</v>
      </c>
      <c r="C12" s="5" t="n">
        <v>10633717</v>
      </c>
      <c r="D12" s="5" t="n">
        <f aca="false">B12-C12</f>
        <v>-3736106</v>
      </c>
      <c r="E12" s="5" t="n">
        <f aca="false">E11+D12</f>
        <v>7854760.695</v>
      </c>
    </row>
    <row r="13" customFormat="false" ht="15" hidden="false" customHeight="false" outlineLevel="0" collapsed="false">
      <c r="A13" s="4" t="s">
        <v>15</v>
      </c>
      <c r="B13" s="5" t="n">
        <v>9205120</v>
      </c>
      <c r="C13" s="5" t="n">
        <v>6832981</v>
      </c>
      <c r="D13" s="5" t="n">
        <f aca="false">B13-C13</f>
        <v>2372139</v>
      </c>
      <c r="E13" s="5" t="n">
        <f aca="false">E12+D13</f>
        <v>10226899.695</v>
      </c>
    </row>
    <row r="14" customFormat="false" ht="15" hidden="false" customHeight="false" outlineLevel="0" collapsed="false">
      <c r="A14" s="4" t="s">
        <v>16</v>
      </c>
      <c r="B14" s="5" t="n">
        <v>8607638</v>
      </c>
      <c r="C14" s="5" t="n">
        <v>8184928</v>
      </c>
      <c r="D14" s="5" t="n">
        <f aca="false">B14-C14</f>
        <v>422710</v>
      </c>
      <c r="E14" s="5" t="n">
        <f aca="false">E13+D14</f>
        <v>10649609.695</v>
      </c>
    </row>
    <row r="15" customFormat="false" ht="15" hidden="false" customHeight="false" outlineLevel="0" collapsed="false">
      <c r="A15" s="4" t="s">
        <v>17</v>
      </c>
      <c r="B15" s="5" t="n">
        <v>8252480</v>
      </c>
      <c r="C15" s="5" t="n">
        <v>9103857</v>
      </c>
      <c r="D15" s="5" t="n">
        <f aca="false">B15-C15</f>
        <v>-851377</v>
      </c>
      <c r="E15" s="5" t="n">
        <f aca="false">E14+D15</f>
        <v>9798232.695</v>
      </c>
    </row>
    <row r="16" customFormat="false" ht="15" hidden="false" customHeight="false" outlineLevel="0" collapsed="false">
      <c r="A16" s="4" t="s">
        <v>18</v>
      </c>
      <c r="B16" s="5" t="n">
        <v>7068302</v>
      </c>
      <c r="C16" s="5" t="n">
        <v>8850142</v>
      </c>
      <c r="D16" s="5" t="n">
        <f aca="false">B16-C16</f>
        <v>-1781840</v>
      </c>
      <c r="E16" s="5" t="n">
        <f aca="false">E15+D16</f>
        <v>8016392.695</v>
      </c>
    </row>
    <row r="17" customFormat="false" ht="15" hidden="false" customHeight="false" outlineLevel="0" collapsed="false">
      <c r="A17" s="4" t="s">
        <v>19</v>
      </c>
      <c r="B17" s="5" t="n">
        <v>7870112</v>
      </c>
      <c r="C17" s="5" t="n">
        <v>5901136</v>
      </c>
      <c r="D17" s="5" t="n">
        <f aca="false">B17-C17</f>
        <v>1968976</v>
      </c>
      <c r="E17" s="5" t="n">
        <f aca="false">E16+D17</f>
        <v>9985368.695</v>
      </c>
    </row>
    <row r="18" customFormat="false" ht="15" hidden="false" customHeight="false" outlineLevel="0" collapsed="false">
      <c r="A18" s="4" t="s">
        <v>20</v>
      </c>
      <c r="B18" s="5" t="n">
        <v>12827875</v>
      </c>
      <c r="C18" s="5" t="n">
        <v>8697877</v>
      </c>
      <c r="D18" s="5" t="n">
        <f aca="false">B18-C18</f>
        <v>4129998</v>
      </c>
      <c r="E18" s="5" t="n">
        <f aca="false">E17+D18</f>
        <v>14115366.695</v>
      </c>
    </row>
    <row r="19" customFormat="false" ht="15" hidden="false" customHeight="false" outlineLevel="0" collapsed="false">
      <c r="A19" s="4" t="s">
        <v>21</v>
      </c>
      <c r="B19" s="5" t="n">
        <v>12113426</v>
      </c>
      <c r="C19" s="5" t="n">
        <v>12992836</v>
      </c>
      <c r="D19" s="5" t="n">
        <f aca="false">B19-C19</f>
        <v>-879410</v>
      </c>
      <c r="E19" s="5" t="n">
        <f aca="false">E18+D19</f>
        <v>13235956.695</v>
      </c>
    </row>
    <row r="20" customFormat="false" ht="15" hidden="false" customHeight="false" outlineLevel="0" collapsed="false">
      <c r="A20" s="6" t="s">
        <v>22</v>
      </c>
      <c r="B20" s="7" t="n">
        <f aca="false">SUM(B7:B19)</f>
        <v>100065387.644</v>
      </c>
      <c r="C20" s="7" t="n">
        <f aca="false">SUM(C7:C19)</f>
        <v>95977484.949</v>
      </c>
      <c r="D20" s="7" t="n">
        <f aca="false">B20-C20</f>
        <v>4087902.69499999</v>
      </c>
      <c r="E20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8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0" t="s">
        <v>24</v>
      </c>
    </row>
    <row r="4" customFormat="false" ht="15" hidden="false" customHeight="false" outlineLevel="0" collapsed="false">
      <c r="A4" s="8" t="s">
        <v>25</v>
      </c>
      <c r="B4" s="8" t="s">
        <v>4</v>
      </c>
      <c r="C4" s="8" t="s">
        <v>5</v>
      </c>
      <c r="D4" s="8" t="s">
        <v>26</v>
      </c>
    </row>
    <row r="5" customFormat="false" ht="15" hidden="false" customHeight="false" outlineLevel="0" collapsed="false">
      <c r="A5" s="4" t="s">
        <v>27</v>
      </c>
      <c r="B5" s="5" t="n">
        <v>0</v>
      </c>
      <c r="C5" s="5" t="n">
        <v>16061062</v>
      </c>
      <c r="D5" s="5" t="n">
        <f aca="false">B5-C5</f>
        <v>-16061062</v>
      </c>
    </row>
    <row r="6" customFormat="false" ht="15" hidden="false" customHeight="false" outlineLevel="0" collapsed="false">
      <c r="A6" s="4" t="s">
        <v>28</v>
      </c>
      <c r="B6" s="5" t="n">
        <v>0</v>
      </c>
      <c r="C6" s="5" t="n">
        <v>13020187</v>
      </c>
      <c r="D6" s="5" t="n">
        <f aca="false">B6-C6</f>
        <v>-13020187</v>
      </c>
    </row>
    <row r="7" customFormat="false" ht="15" hidden="false" customHeight="false" outlineLevel="0" collapsed="false">
      <c r="A7" s="4" t="s">
        <v>29</v>
      </c>
      <c r="B7" s="5" t="n">
        <v>0</v>
      </c>
      <c r="C7" s="5" t="n">
        <v>11430870</v>
      </c>
      <c r="D7" s="5" t="n">
        <f aca="false">B7-C7</f>
        <v>-11430870</v>
      </c>
    </row>
    <row r="8" customFormat="false" ht="15" hidden="false" customHeight="false" outlineLevel="0" collapsed="false">
      <c r="A8" s="4" t="s">
        <v>30</v>
      </c>
      <c r="B8" s="5" t="n">
        <v>0</v>
      </c>
      <c r="C8" s="5" t="n">
        <v>10465256</v>
      </c>
      <c r="D8" s="5" t="n">
        <f aca="false">B8-C8</f>
        <v>-10465256</v>
      </c>
    </row>
    <row r="9" customFormat="false" ht="15" hidden="false" customHeight="false" outlineLevel="0" collapsed="false">
      <c r="A9" s="4" t="s">
        <v>31</v>
      </c>
      <c r="B9" s="5" t="n">
        <v>0</v>
      </c>
      <c r="C9" s="5" t="n">
        <v>9483007</v>
      </c>
      <c r="D9" s="5" t="n">
        <f aca="false">B9-C9</f>
        <v>-9483007</v>
      </c>
    </row>
    <row r="10" customFormat="false" ht="15" hidden="false" customHeight="false" outlineLevel="0" collapsed="false">
      <c r="A10" s="4" t="s">
        <v>32</v>
      </c>
      <c r="B10" s="5" t="n">
        <v>241060</v>
      </c>
      <c r="C10" s="5" t="n">
        <v>9026299.174</v>
      </c>
      <c r="D10" s="5" t="n">
        <f aca="false">B10-C10</f>
        <v>-8785239.174</v>
      </c>
    </row>
    <row r="11" customFormat="false" ht="15" hidden="false" customHeight="false" outlineLevel="0" collapsed="false">
      <c r="A11" s="4" t="s">
        <v>33</v>
      </c>
      <c r="B11" s="5" t="n">
        <v>0</v>
      </c>
      <c r="C11" s="5" t="n">
        <v>7891420</v>
      </c>
      <c r="D11" s="5" t="n">
        <f aca="false">B11-C11</f>
        <v>-7891420</v>
      </c>
    </row>
    <row r="12" customFormat="false" ht="15" hidden="false" customHeight="false" outlineLevel="0" collapsed="false">
      <c r="A12" s="4" t="s">
        <v>34</v>
      </c>
      <c r="B12" s="5" t="n">
        <v>742225</v>
      </c>
      <c r="C12" s="5" t="n">
        <v>7780552.913</v>
      </c>
      <c r="D12" s="5" t="n">
        <f aca="false">B12-C12</f>
        <v>-7038327.913</v>
      </c>
    </row>
    <row r="13" customFormat="false" ht="15" hidden="false" customHeight="false" outlineLevel="0" collapsed="false">
      <c r="A13" s="4" t="s">
        <v>35</v>
      </c>
      <c r="B13" s="5" t="n">
        <v>398000</v>
      </c>
      <c r="C13" s="5" t="n">
        <v>5122103.256</v>
      </c>
      <c r="D13" s="5" t="n">
        <f aca="false">B13-C13</f>
        <v>-4724103.256</v>
      </c>
    </row>
    <row r="14" customFormat="false" ht="15" hidden="false" customHeight="false" outlineLevel="0" collapsed="false">
      <c r="A14" s="4" t="s">
        <v>36</v>
      </c>
      <c r="B14" s="5" t="n">
        <v>0</v>
      </c>
      <c r="C14" s="5" t="n">
        <v>4966824</v>
      </c>
      <c r="D14" s="5" t="n">
        <f aca="false">B14-C14</f>
        <v>-4966824</v>
      </c>
    </row>
    <row r="15" customFormat="false" ht="15" hidden="false" customHeight="false" outlineLevel="0" collapsed="false">
      <c r="A15" s="4" t="s">
        <v>37</v>
      </c>
      <c r="B15" s="5" t="n">
        <v>0</v>
      </c>
      <c r="C15" s="5" t="n">
        <v>572573.606</v>
      </c>
      <c r="D15" s="5" t="n">
        <f aca="false">B15-C15</f>
        <v>-572573.606</v>
      </c>
    </row>
    <row r="16" customFormat="false" ht="15" hidden="false" customHeight="false" outlineLevel="0" collapsed="false">
      <c r="A16" s="4" t="s">
        <v>38</v>
      </c>
      <c r="B16" s="5" t="n">
        <v>0</v>
      </c>
      <c r="C16" s="5" t="n">
        <v>157330</v>
      </c>
      <c r="D16" s="5" t="n">
        <f aca="false">B16-C16</f>
        <v>-157330</v>
      </c>
    </row>
    <row r="17" customFormat="false" ht="15" hidden="false" customHeight="false" outlineLevel="0" collapsed="false">
      <c r="A17" s="4" t="s">
        <v>39</v>
      </c>
      <c r="B17" s="5" t="n">
        <v>98684102.644</v>
      </c>
      <c r="C17" s="5" t="n">
        <v>0</v>
      </c>
      <c r="D17" s="5" t="n">
        <f aca="false">B17-C17</f>
        <v>98684102.644</v>
      </c>
    </row>
    <row r="18" customFormat="false" ht="15" hidden="false" customHeight="false" outlineLevel="0" collapsed="false">
      <c r="A18" s="6" t="s">
        <v>40</v>
      </c>
      <c r="B18" s="7" t="n">
        <f aca="false">SUM(B5:B17)</f>
        <v>100065387.644</v>
      </c>
      <c r="C18" s="7" t="n">
        <f aca="false">SUM(C5:C17)</f>
        <v>95977484.949</v>
      </c>
      <c r="D18" s="7" t="n">
        <f aca="false">B18-C18</f>
        <v>4087902.69499999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41</v>
      </c>
    </row>
    <row r="3" customFormat="false" ht="15" hidden="false" customHeight="false" outlineLevel="0" collapsed="false">
      <c r="A3" s="8" t="s">
        <v>42</v>
      </c>
      <c r="B3" s="8" t="s">
        <v>43</v>
      </c>
      <c r="C3" s="8" t="s">
        <v>44</v>
      </c>
    </row>
    <row r="4" customFormat="false" ht="15" hidden="false" customHeight="false" outlineLevel="0" collapsed="false">
      <c r="A4" s="4" t="s">
        <v>45</v>
      </c>
      <c r="B4" s="4" t="s">
        <v>46</v>
      </c>
      <c r="C4" s="5" t="n">
        <v>16061062</v>
      </c>
    </row>
    <row r="5" customFormat="false" ht="15" hidden="false" customHeight="false" outlineLevel="0" collapsed="false">
      <c r="A5" s="9" t="s">
        <v>47</v>
      </c>
      <c r="B5" s="9" t="s">
        <v>48</v>
      </c>
      <c r="C5" s="5" t="n">
        <v>13020187</v>
      </c>
    </row>
    <row r="6" customFormat="false" ht="15" hidden="false" customHeight="false" outlineLevel="0" collapsed="false">
      <c r="A6" s="9" t="s">
        <v>49</v>
      </c>
      <c r="B6" s="9" t="s">
        <v>48</v>
      </c>
      <c r="C6" s="5" t="n">
        <v>10465256</v>
      </c>
    </row>
    <row r="7" customFormat="false" ht="15" hidden="false" customHeight="false" outlineLevel="0" collapsed="false">
      <c r="A7" s="4" t="s">
        <v>50</v>
      </c>
      <c r="B7" s="4" t="s">
        <v>46</v>
      </c>
      <c r="C7" s="5" t="n">
        <v>9483007</v>
      </c>
    </row>
    <row r="8" customFormat="false" ht="15" hidden="false" customHeight="false" outlineLevel="0" collapsed="false">
      <c r="A8" s="4" t="s">
        <v>51</v>
      </c>
      <c r="B8" s="4" t="s">
        <v>46</v>
      </c>
      <c r="C8" s="5" t="n">
        <v>7891420</v>
      </c>
    </row>
    <row r="9" customFormat="false" ht="15" hidden="false" customHeight="false" outlineLevel="0" collapsed="false">
      <c r="A9" s="4" t="s">
        <v>52</v>
      </c>
      <c r="B9" s="4" t="s">
        <v>46</v>
      </c>
      <c r="C9" s="5" t="n">
        <v>5122103.256</v>
      </c>
    </row>
    <row r="10" customFormat="false" ht="15" hidden="false" customHeight="false" outlineLevel="0" collapsed="false">
      <c r="A10" s="9" t="s">
        <v>53</v>
      </c>
      <c r="B10" s="9" t="s">
        <v>48</v>
      </c>
      <c r="C10" s="5" t="n">
        <v>4966824</v>
      </c>
    </row>
    <row r="12" customFormat="false" ht="15" hidden="false" customHeight="false" outlineLevel="0" collapsed="false">
      <c r="A12" s="10" t="s">
        <v>54</v>
      </c>
      <c r="C12" s="3" t="n">
        <v>28452267</v>
      </c>
    </row>
    <row r="13" customFormat="false" ht="15" hidden="false" customHeight="false" outlineLevel="0" collapsed="false">
      <c r="A13" s="0" t="s">
        <v>55</v>
      </c>
      <c r="C13" s="3" t="n">
        <v>38557592.256</v>
      </c>
    </row>
    <row r="14" customFormat="false" ht="15" hidden="false" customHeight="false" outlineLevel="0" collapsed="false">
      <c r="A14" s="11" t="s">
        <v>56</v>
      </c>
      <c r="C14" s="12" t="n">
        <v>67009859.256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0" t="s">
        <v>58</v>
      </c>
    </row>
    <row r="4" customFormat="false" ht="15" hidden="false" customHeight="false" outlineLevel="0" collapsed="false">
      <c r="A4" s="0" t="s">
        <v>59</v>
      </c>
      <c r="B4" s="3" t="n">
        <v>9148054</v>
      </c>
    </row>
    <row r="6" customFormat="false" ht="15" hidden="false" customHeight="false" outlineLevel="0" collapsed="false">
      <c r="A6" s="11" t="s">
        <v>60</v>
      </c>
    </row>
    <row r="7" customFormat="false" ht="15" hidden="false" customHeight="false" outlineLevel="0" collapsed="false">
      <c r="A7" s="0" t="s">
        <v>61</v>
      </c>
      <c r="B7" s="3" t="n">
        <v>100065387.644</v>
      </c>
    </row>
    <row r="8" customFormat="false" ht="15" hidden="false" customHeight="false" outlineLevel="0" collapsed="false">
      <c r="A8" s="0" t="s">
        <v>62</v>
      </c>
      <c r="B8" s="3" t="n">
        <v>95977484.949</v>
      </c>
    </row>
    <row r="9" customFormat="false" ht="15" hidden="false" customHeight="false" outlineLevel="0" collapsed="false">
      <c r="A9" s="0" t="s">
        <v>63</v>
      </c>
      <c r="B9" s="3" t="n">
        <f aca="false">B7-B8</f>
        <v>4087902.69499999</v>
      </c>
    </row>
    <row r="11" customFormat="false" ht="15" hidden="false" customHeight="false" outlineLevel="0" collapsed="false">
      <c r="A11" s="11" t="s">
        <v>64</v>
      </c>
      <c r="B11" s="12" t="n">
        <f aca="false">B4+B9</f>
        <v>13235956.695</v>
      </c>
    </row>
    <row r="14" customFormat="false" ht="15" hidden="false" customHeight="false" outlineLevel="0" collapsed="false">
      <c r="A14" s="11" t="s">
        <v>65</v>
      </c>
    </row>
    <row r="15" customFormat="false" ht="15" hidden="false" customHeight="false" outlineLevel="0" collapsed="false">
      <c r="A15" s="0" t="s">
        <v>66</v>
      </c>
      <c r="B15" s="3" t="n">
        <f aca="false">B7</f>
        <v>100065387.644</v>
      </c>
    </row>
    <row r="16" customFormat="false" ht="15" hidden="false" customHeight="false" outlineLevel="0" collapsed="false">
      <c r="A16" s="0" t="s">
        <v>67</v>
      </c>
      <c r="B16" s="3" t="n">
        <v>102719135</v>
      </c>
      <c r="C16" s="13" t="s">
        <v>68</v>
      </c>
    </row>
    <row r="17" customFormat="false" ht="15" hidden="false" customHeight="false" outlineLevel="0" collapsed="false">
      <c r="A17" s="0" t="s">
        <v>69</v>
      </c>
      <c r="B17" s="3" t="n">
        <f aca="false">B15-B16</f>
        <v>-2653747.35600001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22"/>
    <col collapsed="false" customWidth="true" hidden="false" outlineLevel="0" max="5" min="4" style="0" width="15"/>
    <col collapsed="false" customWidth="true" hidden="false" outlineLevel="0" max="6" min="6" style="0" width="35"/>
  </cols>
  <sheetData>
    <row r="1" customFormat="false" ht="17.35" hidden="false" customHeight="false" outlineLevel="0" collapsed="false">
      <c r="A1" s="1" t="s">
        <v>70</v>
      </c>
    </row>
    <row r="3" customFormat="false" ht="15" hidden="false" customHeight="false" outlineLevel="0" collapsed="false">
      <c r="A3" s="8" t="s">
        <v>71</v>
      </c>
      <c r="B3" s="8" t="s">
        <v>72</v>
      </c>
      <c r="C3" s="8" t="s">
        <v>25</v>
      </c>
      <c r="D3" s="8" t="s">
        <v>5</v>
      </c>
      <c r="E3" s="8" t="s">
        <v>4</v>
      </c>
      <c r="F3" s="8" t="s">
        <v>73</v>
      </c>
    </row>
    <row r="4" customFormat="false" ht="15" hidden="false" customHeight="false" outlineLevel="0" collapsed="false">
      <c r="A4" s="0" t="s">
        <v>74</v>
      </c>
      <c r="B4" s="0" t="s">
        <v>75</v>
      </c>
      <c r="C4" s="0" t="s">
        <v>39</v>
      </c>
      <c r="E4" s="3" t="n">
        <v>654295</v>
      </c>
    </row>
    <row r="5" customFormat="false" ht="15" hidden="false" customHeight="false" outlineLevel="0" collapsed="false">
      <c r="A5" s="0" t="s">
        <v>74</v>
      </c>
      <c r="B5" s="0" t="s">
        <v>76</v>
      </c>
      <c r="C5" s="0" t="s">
        <v>27</v>
      </c>
      <c r="D5" s="3" t="n">
        <v>2824210</v>
      </c>
      <c r="F5" s="13" t="s">
        <v>77</v>
      </c>
    </row>
    <row r="6" customFormat="false" ht="15" hidden="false" customHeight="false" outlineLevel="0" collapsed="false">
      <c r="A6" s="0" t="s">
        <v>74</v>
      </c>
      <c r="B6" s="0" t="s">
        <v>78</v>
      </c>
      <c r="C6" s="0" t="s">
        <v>34</v>
      </c>
      <c r="D6" s="3" t="n">
        <v>413687</v>
      </c>
    </row>
    <row r="7" customFormat="false" ht="15" hidden="false" customHeight="false" outlineLevel="0" collapsed="false">
      <c r="A7" s="0" t="s">
        <v>79</v>
      </c>
      <c r="B7" s="0" t="s">
        <v>80</v>
      </c>
      <c r="C7" s="0" t="s">
        <v>31</v>
      </c>
      <c r="D7" s="3" t="n">
        <v>493420</v>
      </c>
      <c r="F7" s="13" t="s">
        <v>81</v>
      </c>
    </row>
    <row r="8" customFormat="false" ht="15" hidden="false" customHeight="false" outlineLevel="0" collapsed="false">
      <c r="A8" s="0" t="s">
        <v>79</v>
      </c>
      <c r="B8" s="0" t="s">
        <v>82</v>
      </c>
      <c r="C8" s="0" t="s">
        <v>33</v>
      </c>
      <c r="D8" s="3" t="n">
        <v>939760</v>
      </c>
      <c r="F8" s="13" t="s">
        <v>83</v>
      </c>
    </row>
    <row r="9" customFormat="false" ht="15" hidden="false" customHeight="false" outlineLevel="0" collapsed="false">
      <c r="A9" s="0" t="s">
        <v>79</v>
      </c>
      <c r="B9" s="0" t="s">
        <v>75</v>
      </c>
      <c r="C9" s="0" t="s">
        <v>39</v>
      </c>
      <c r="E9" s="3" t="n">
        <v>940356</v>
      </c>
    </row>
    <row r="10" customFormat="false" ht="15" hidden="false" customHeight="false" outlineLevel="0" collapsed="false">
      <c r="A10" s="0" t="s">
        <v>84</v>
      </c>
      <c r="B10" s="0" t="s">
        <v>75</v>
      </c>
      <c r="C10" s="0" t="s">
        <v>39</v>
      </c>
      <c r="E10" s="3" t="n">
        <v>271279</v>
      </c>
    </row>
    <row r="11" customFormat="false" ht="15" hidden="false" customHeight="false" outlineLevel="0" collapsed="false">
      <c r="A11" s="0" t="s">
        <v>84</v>
      </c>
      <c r="B11" s="0" t="s">
        <v>85</v>
      </c>
      <c r="C11" s="0" t="s">
        <v>32</v>
      </c>
      <c r="D11" s="3" t="n">
        <v>4600</v>
      </c>
      <c r="F11" s="13" t="s">
        <v>86</v>
      </c>
    </row>
    <row r="12" customFormat="false" ht="15" hidden="false" customHeight="false" outlineLevel="0" collapsed="false">
      <c r="A12" s="0" t="s">
        <v>87</v>
      </c>
      <c r="B12" s="0" t="s">
        <v>88</v>
      </c>
      <c r="C12" s="0" t="s">
        <v>32</v>
      </c>
      <c r="D12" s="3" t="n">
        <v>75636</v>
      </c>
      <c r="F12" s="13" t="s">
        <v>89</v>
      </c>
    </row>
    <row r="13" customFormat="false" ht="15" hidden="false" customHeight="false" outlineLevel="0" collapsed="false">
      <c r="A13" s="0" t="s">
        <v>87</v>
      </c>
      <c r="B13" s="0" t="s">
        <v>90</v>
      </c>
      <c r="C13" s="0" t="s">
        <v>35</v>
      </c>
      <c r="D13" s="3" t="n">
        <v>250000</v>
      </c>
      <c r="F13" s="13" t="s">
        <v>91</v>
      </c>
    </row>
    <row r="14" customFormat="false" ht="15" hidden="false" customHeight="false" outlineLevel="0" collapsed="false">
      <c r="A14" s="0" t="s">
        <v>87</v>
      </c>
      <c r="B14" s="0" t="s">
        <v>92</v>
      </c>
      <c r="C14" s="0" t="s">
        <v>32</v>
      </c>
      <c r="D14" s="3" t="n">
        <v>128662</v>
      </c>
      <c r="F14" s="13" t="s">
        <v>93</v>
      </c>
    </row>
    <row r="15" customFormat="false" ht="15" hidden="false" customHeight="false" outlineLevel="0" collapsed="false">
      <c r="A15" s="0" t="s">
        <v>87</v>
      </c>
      <c r="B15" s="0" t="s">
        <v>94</v>
      </c>
      <c r="C15" s="0" t="s">
        <v>32</v>
      </c>
      <c r="D15" s="3" t="n">
        <v>153636</v>
      </c>
      <c r="F15" s="13" t="s">
        <v>95</v>
      </c>
    </row>
    <row r="16" customFormat="false" ht="15" hidden="false" customHeight="false" outlineLevel="0" collapsed="false">
      <c r="A16" s="0" t="s">
        <v>87</v>
      </c>
      <c r="B16" s="0" t="s">
        <v>96</v>
      </c>
      <c r="C16" s="0" t="s">
        <v>38</v>
      </c>
      <c r="D16" s="3" t="n">
        <v>107228</v>
      </c>
      <c r="F16" s="13" t="s">
        <v>97</v>
      </c>
    </row>
    <row r="17" customFormat="false" ht="15" hidden="false" customHeight="false" outlineLevel="0" collapsed="false">
      <c r="A17" s="0" t="s">
        <v>87</v>
      </c>
      <c r="B17" s="0" t="s">
        <v>75</v>
      </c>
      <c r="C17" s="0" t="s">
        <v>39</v>
      </c>
      <c r="E17" s="3" t="n">
        <v>37882</v>
      </c>
    </row>
    <row r="18" customFormat="false" ht="15" hidden="false" customHeight="false" outlineLevel="0" collapsed="false">
      <c r="A18" s="0" t="s">
        <v>87</v>
      </c>
      <c r="B18" s="0" t="s">
        <v>98</v>
      </c>
      <c r="C18" s="0" t="s">
        <v>32</v>
      </c>
      <c r="D18" s="3" t="n">
        <v>91748</v>
      </c>
      <c r="F18" s="13" t="s">
        <v>99</v>
      </c>
    </row>
    <row r="19" customFormat="false" ht="15" hidden="false" customHeight="false" outlineLevel="0" collapsed="false">
      <c r="A19" s="0" t="s">
        <v>100</v>
      </c>
      <c r="B19" s="0" t="s">
        <v>75</v>
      </c>
      <c r="C19" s="0" t="s">
        <v>39</v>
      </c>
      <c r="E19" s="3" t="n">
        <v>511061</v>
      </c>
    </row>
    <row r="20" customFormat="false" ht="15" hidden="false" customHeight="false" outlineLevel="0" collapsed="false">
      <c r="A20" s="0" t="s">
        <v>101</v>
      </c>
      <c r="B20" s="0" t="s">
        <v>75</v>
      </c>
      <c r="C20" s="0" t="s">
        <v>39</v>
      </c>
      <c r="E20" s="3" t="n">
        <v>79803</v>
      </c>
    </row>
    <row r="21" customFormat="false" ht="15" hidden="false" customHeight="false" outlineLevel="0" collapsed="false">
      <c r="A21" s="0" t="s">
        <v>102</v>
      </c>
      <c r="B21" s="0" t="s">
        <v>103</v>
      </c>
      <c r="C21" s="0" t="s">
        <v>28</v>
      </c>
      <c r="D21" s="3" t="n">
        <v>1680177</v>
      </c>
      <c r="F21" s="13" t="s">
        <v>104</v>
      </c>
    </row>
    <row r="22" customFormat="false" ht="15" hidden="false" customHeight="false" outlineLevel="0" collapsed="false">
      <c r="A22" s="0" t="s">
        <v>102</v>
      </c>
      <c r="B22" s="0" t="s">
        <v>75</v>
      </c>
      <c r="C22" s="0" t="s">
        <v>39</v>
      </c>
      <c r="E22" s="3" t="n">
        <v>170994</v>
      </c>
    </row>
    <row r="23" customFormat="false" ht="15" hidden="false" customHeight="false" outlineLevel="0" collapsed="false">
      <c r="A23" s="0" t="s">
        <v>102</v>
      </c>
      <c r="B23" s="0" t="s">
        <v>105</v>
      </c>
      <c r="C23" s="0" t="s">
        <v>36</v>
      </c>
      <c r="D23" s="3" t="n">
        <v>386973</v>
      </c>
      <c r="F23" s="13" t="s">
        <v>106</v>
      </c>
    </row>
    <row r="24" customFormat="false" ht="15" hidden="false" customHeight="false" outlineLevel="0" collapsed="false">
      <c r="A24" s="0" t="s">
        <v>102</v>
      </c>
      <c r="B24" s="0" t="s">
        <v>107</v>
      </c>
      <c r="C24" s="0" t="s">
        <v>30</v>
      </c>
      <c r="D24" s="3" t="n">
        <v>1402066</v>
      </c>
      <c r="F24" s="13" t="s">
        <v>108</v>
      </c>
    </row>
    <row r="25" customFormat="false" ht="15" hidden="false" customHeight="false" outlineLevel="0" collapsed="false">
      <c r="A25" s="0" t="s">
        <v>109</v>
      </c>
      <c r="B25" s="0" t="s">
        <v>90</v>
      </c>
      <c r="C25" s="0" t="s">
        <v>35</v>
      </c>
      <c r="D25" s="3" t="n">
        <v>65774</v>
      </c>
      <c r="F25" s="13" t="s">
        <v>91</v>
      </c>
    </row>
    <row r="26" customFormat="false" ht="15" hidden="false" customHeight="false" outlineLevel="0" collapsed="false">
      <c r="A26" s="0" t="s">
        <v>109</v>
      </c>
      <c r="B26" s="0" t="s">
        <v>75</v>
      </c>
      <c r="C26" s="0" t="s">
        <v>39</v>
      </c>
      <c r="E26" s="3" t="n">
        <v>43383</v>
      </c>
    </row>
    <row r="27" customFormat="false" ht="15" hidden="false" customHeight="false" outlineLevel="0" collapsed="false">
      <c r="A27" s="0" t="s">
        <v>110</v>
      </c>
      <c r="B27" s="0" t="s">
        <v>75</v>
      </c>
      <c r="C27" s="0" t="s">
        <v>39</v>
      </c>
      <c r="E27" s="3" t="n">
        <v>674568</v>
      </c>
    </row>
    <row r="28" customFormat="false" ht="15" hidden="false" customHeight="false" outlineLevel="0" collapsed="false">
      <c r="A28" s="0" t="s">
        <v>111</v>
      </c>
      <c r="B28" s="0" t="s">
        <v>75</v>
      </c>
      <c r="C28" s="0" t="s">
        <v>39</v>
      </c>
      <c r="E28" s="3" t="n">
        <v>237924</v>
      </c>
    </row>
    <row r="29" customFormat="false" ht="15" hidden="false" customHeight="false" outlineLevel="0" collapsed="false">
      <c r="A29" s="0" t="s">
        <v>112</v>
      </c>
      <c r="B29" s="0" t="s">
        <v>75</v>
      </c>
      <c r="C29" s="0" t="s">
        <v>39</v>
      </c>
      <c r="E29" s="3" t="n">
        <v>70084</v>
      </c>
    </row>
    <row r="30" customFormat="false" ht="15" hidden="false" customHeight="false" outlineLevel="0" collapsed="false">
      <c r="A30" s="0" t="s">
        <v>113</v>
      </c>
      <c r="B30" s="0" t="s">
        <v>75</v>
      </c>
      <c r="C30" s="0" t="s">
        <v>39</v>
      </c>
      <c r="E30" s="3" t="n">
        <v>178545</v>
      </c>
    </row>
    <row r="31" customFormat="false" ht="15" hidden="false" customHeight="false" outlineLevel="0" collapsed="false">
      <c r="A31" s="0" t="s">
        <v>114</v>
      </c>
      <c r="B31" s="0" t="s">
        <v>75</v>
      </c>
      <c r="C31" s="0" t="s">
        <v>39</v>
      </c>
      <c r="E31" s="3" t="n">
        <v>193132</v>
      </c>
    </row>
    <row r="32" customFormat="false" ht="15" hidden="false" customHeight="false" outlineLevel="0" collapsed="false">
      <c r="A32" s="0" t="s">
        <v>114</v>
      </c>
      <c r="B32" s="0" t="s">
        <v>85</v>
      </c>
      <c r="C32" s="0" t="s">
        <v>34</v>
      </c>
      <c r="D32" s="3" t="n">
        <v>152994</v>
      </c>
      <c r="F32" s="13" t="s">
        <v>115</v>
      </c>
    </row>
    <row r="33" customFormat="false" ht="15" hidden="false" customHeight="false" outlineLevel="0" collapsed="false">
      <c r="A33" s="0" t="s">
        <v>114</v>
      </c>
      <c r="B33" s="0" t="s">
        <v>116</v>
      </c>
      <c r="C33" s="0" t="s">
        <v>29</v>
      </c>
      <c r="D33" s="3" t="n">
        <v>320031</v>
      </c>
      <c r="F33" s="13" t="s">
        <v>117</v>
      </c>
    </row>
    <row r="34" customFormat="false" ht="15" hidden="false" customHeight="false" outlineLevel="0" collapsed="false">
      <c r="A34" s="0" t="s">
        <v>114</v>
      </c>
      <c r="B34" s="0" t="s">
        <v>118</v>
      </c>
      <c r="C34" s="0" t="s">
        <v>34</v>
      </c>
      <c r="D34" s="3" t="n">
        <v>241441</v>
      </c>
      <c r="F34" s="13" t="s">
        <v>119</v>
      </c>
    </row>
    <row r="35" customFormat="false" ht="15" hidden="false" customHeight="false" outlineLevel="0" collapsed="false">
      <c r="A35" s="0" t="s">
        <v>120</v>
      </c>
      <c r="B35" s="0" t="s">
        <v>75</v>
      </c>
      <c r="C35" s="0" t="s">
        <v>39</v>
      </c>
      <c r="E35" s="3" t="n">
        <v>507463</v>
      </c>
    </row>
    <row r="36" customFormat="false" ht="15" hidden="false" customHeight="false" outlineLevel="0" collapsed="false">
      <c r="A36" s="0" t="s">
        <v>121</v>
      </c>
      <c r="B36" s="0" t="s">
        <v>75</v>
      </c>
      <c r="C36" s="0" t="s">
        <v>39</v>
      </c>
      <c r="E36" s="3" t="n">
        <v>692503</v>
      </c>
    </row>
    <row r="37" customFormat="false" ht="15" hidden="false" customHeight="false" outlineLevel="0" collapsed="false">
      <c r="A37" s="0" t="s">
        <v>122</v>
      </c>
      <c r="B37" s="0" t="s">
        <v>75</v>
      </c>
      <c r="C37" s="0" t="s">
        <v>39</v>
      </c>
      <c r="E37" s="3" t="n">
        <v>311892</v>
      </c>
    </row>
    <row r="38" customFormat="false" ht="15" hidden="false" customHeight="false" outlineLevel="0" collapsed="false">
      <c r="A38" s="0" t="s">
        <v>123</v>
      </c>
      <c r="B38" s="0" t="s">
        <v>75</v>
      </c>
      <c r="C38" s="0" t="s">
        <v>39</v>
      </c>
      <c r="E38" s="3" t="n">
        <v>20715</v>
      </c>
    </row>
    <row r="39" customFormat="false" ht="15" hidden="false" customHeight="false" outlineLevel="0" collapsed="false">
      <c r="A39" s="0" t="s">
        <v>124</v>
      </c>
      <c r="B39" s="0" t="s">
        <v>75</v>
      </c>
      <c r="C39" s="0" t="s">
        <v>39</v>
      </c>
      <c r="E39" s="3" t="n">
        <v>95282</v>
      </c>
    </row>
    <row r="40" customFormat="false" ht="15" hidden="false" customHeight="false" outlineLevel="0" collapsed="false">
      <c r="A40" s="0" t="s">
        <v>125</v>
      </c>
      <c r="B40" s="0" t="s">
        <v>75</v>
      </c>
      <c r="C40" s="0" t="s">
        <v>39</v>
      </c>
      <c r="E40" s="3" t="n">
        <v>212994</v>
      </c>
    </row>
    <row r="41" customFormat="false" ht="15" hidden="false" customHeight="false" outlineLevel="0" collapsed="false">
      <c r="A41" s="0" t="s">
        <v>125</v>
      </c>
      <c r="B41" s="0" t="s">
        <v>96</v>
      </c>
      <c r="C41" s="0" t="s">
        <v>37</v>
      </c>
      <c r="D41" s="3" t="n">
        <v>24684</v>
      </c>
    </row>
    <row r="42" customFormat="false" ht="15" hidden="false" customHeight="false" outlineLevel="0" collapsed="false">
      <c r="A42" s="0" t="s">
        <v>126</v>
      </c>
      <c r="B42" s="0" t="s">
        <v>75</v>
      </c>
      <c r="C42" s="0" t="s">
        <v>39</v>
      </c>
      <c r="E42" s="3" t="n">
        <v>220258</v>
      </c>
    </row>
    <row r="43" customFormat="false" ht="15" hidden="false" customHeight="false" outlineLevel="0" collapsed="false">
      <c r="A43" s="0" t="s">
        <v>127</v>
      </c>
      <c r="B43" s="0" t="s">
        <v>107</v>
      </c>
      <c r="C43" s="0" t="s">
        <v>30</v>
      </c>
      <c r="D43" s="3" t="n">
        <v>200000</v>
      </c>
      <c r="F43" s="13" t="s">
        <v>128</v>
      </c>
    </row>
    <row r="44" customFormat="false" ht="15" hidden="false" customHeight="false" outlineLevel="0" collapsed="false">
      <c r="A44" s="0" t="s">
        <v>127</v>
      </c>
      <c r="B44" s="0" t="s">
        <v>96</v>
      </c>
      <c r="C44" s="0" t="s">
        <v>37</v>
      </c>
      <c r="D44" s="3" t="n">
        <v>7668</v>
      </c>
    </row>
    <row r="45" customFormat="false" ht="15" hidden="false" customHeight="false" outlineLevel="0" collapsed="false">
      <c r="A45" s="0" t="s">
        <v>127</v>
      </c>
      <c r="B45" s="0" t="s">
        <v>75</v>
      </c>
      <c r="C45" s="0" t="s">
        <v>39</v>
      </c>
      <c r="E45" s="3" t="n">
        <v>241705</v>
      </c>
    </row>
    <row r="46" customFormat="false" ht="15" hidden="false" customHeight="false" outlineLevel="0" collapsed="false">
      <c r="A46" s="0" t="s">
        <v>129</v>
      </c>
      <c r="B46" s="0" t="s">
        <v>85</v>
      </c>
      <c r="C46" s="0" t="s">
        <v>34</v>
      </c>
      <c r="D46" s="3" t="n">
        <v>4600</v>
      </c>
      <c r="F46" s="13" t="s">
        <v>86</v>
      </c>
    </row>
    <row r="47" customFormat="false" ht="15" hidden="false" customHeight="false" outlineLevel="0" collapsed="false">
      <c r="A47" s="0" t="s">
        <v>129</v>
      </c>
      <c r="B47" s="0" t="s">
        <v>85</v>
      </c>
      <c r="C47" s="0" t="s">
        <v>34</v>
      </c>
      <c r="D47" s="3" t="n">
        <v>16721</v>
      </c>
    </row>
    <row r="48" customFormat="false" ht="15" hidden="false" customHeight="false" outlineLevel="0" collapsed="false">
      <c r="A48" s="0" t="s">
        <v>129</v>
      </c>
      <c r="B48" s="0" t="s">
        <v>75</v>
      </c>
      <c r="C48" s="0" t="s">
        <v>39</v>
      </c>
      <c r="E48" s="3" t="n">
        <v>100092</v>
      </c>
    </row>
    <row r="49" customFormat="false" ht="15" hidden="false" customHeight="false" outlineLevel="0" collapsed="false">
      <c r="A49" s="0" t="s">
        <v>130</v>
      </c>
      <c r="B49" s="0" t="s">
        <v>75</v>
      </c>
      <c r="C49" s="0" t="s">
        <v>39</v>
      </c>
      <c r="E49" s="3" t="n">
        <v>118387</v>
      </c>
    </row>
    <row r="50" customFormat="false" ht="15" hidden="false" customHeight="false" outlineLevel="0" collapsed="false">
      <c r="A50" s="0" t="s">
        <v>131</v>
      </c>
      <c r="B50" s="0" t="s">
        <v>75</v>
      </c>
      <c r="C50" s="0" t="s">
        <v>39</v>
      </c>
      <c r="E50" s="3" t="n">
        <v>569877</v>
      </c>
    </row>
    <row r="51" customFormat="false" ht="15" hidden="false" customHeight="false" outlineLevel="0" collapsed="false">
      <c r="A51" s="0" t="s">
        <v>132</v>
      </c>
      <c r="B51" s="0" t="s">
        <v>75</v>
      </c>
      <c r="C51" s="0" t="s">
        <v>39</v>
      </c>
      <c r="E51" s="3" t="n">
        <v>391066</v>
      </c>
    </row>
    <row r="52" customFormat="false" ht="15" hidden="false" customHeight="false" outlineLevel="0" collapsed="false">
      <c r="A52" s="0" t="s">
        <v>133</v>
      </c>
      <c r="B52" s="0" t="s">
        <v>98</v>
      </c>
      <c r="C52" s="0" t="s">
        <v>32</v>
      </c>
      <c r="D52" s="3" t="n">
        <v>203534</v>
      </c>
    </row>
    <row r="53" customFormat="false" ht="15" hidden="false" customHeight="false" outlineLevel="0" collapsed="false">
      <c r="A53" s="0" t="s">
        <v>133</v>
      </c>
      <c r="B53" s="0" t="s">
        <v>92</v>
      </c>
      <c r="C53" s="0" t="s">
        <v>32</v>
      </c>
      <c r="D53" s="3" t="n">
        <v>15211</v>
      </c>
    </row>
    <row r="54" customFormat="false" ht="15" hidden="false" customHeight="false" outlineLevel="0" collapsed="false">
      <c r="A54" s="0" t="s">
        <v>133</v>
      </c>
      <c r="B54" s="0" t="s">
        <v>134</v>
      </c>
      <c r="C54" s="0" t="s">
        <v>32</v>
      </c>
      <c r="D54" s="3" t="n">
        <v>135412</v>
      </c>
    </row>
    <row r="55" customFormat="false" ht="15" hidden="false" customHeight="false" outlineLevel="0" collapsed="false">
      <c r="A55" s="0" t="s">
        <v>133</v>
      </c>
      <c r="B55" s="0" t="s">
        <v>78</v>
      </c>
      <c r="C55" s="0" t="s">
        <v>34</v>
      </c>
      <c r="D55" s="3" t="n">
        <v>209458</v>
      </c>
    </row>
    <row r="56" customFormat="false" ht="15" hidden="false" customHeight="false" outlineLevel="0" collapsed="false">
      <c r="A56" s="0" t="s">
        <v>133</v>
      </c>
      <c r="B56" s="0" t="s">
        <v>75</v>
      </c>
      <c r="C56" s="0" t="s">
        <v>39</v>
      </c>
      <c r="E56" s="3" t="n">
        <v>46742</v>
      </c>
    </row>
    <row r="57" customFormat="false" ht="15" hidden="false" customHeight="false" outlineLevel="0" collapsed="false">
      <c r="A57" s="0" t="s">
        <v>135</v>
      </c>
      <c r="B57" s="0" t="s">
        <v>75</v>
      </c>
      <c r="C57" s="0" t="s">
        <v>39</v>
      </c>
      <c r="E57" s="3" t="n">
        <v>296123</v>
      </c>
    </row>
    <row r="58" customFormat="false" ht="15" hidden="false" customHeight="false" outlineLevel="0" collapsed="false">
      <c r="A58" s="0" t="s">
        <v>135</v>
      </c>
      <c r="B58" s="0" t="s">
        <v>94</v>
      </c>
      <c r="C58" s="0" t="s">
        <v>32</v>
      </c>
      <c r="D58" s="3" t="n">
        <v>108000</v>
      </c>
    </row>
    <row r="59" customFormat="false" ht="15" hidden="false" customHeight="false" outlineLevel="0" collapsed="false">
      <c r="A59" s="0" t="s">
        <v>136</v>
      </c>
      <c r="B59" s="0" t="s">
        <v>90</v>
      </c>
      <c r="C59" s="0" t="s">
        <v>35</v>
      </c>
      <c r="D59" s="3" t="n">
        <v>568928</v>
      </c>
    </row>
    <row r="60" customFormat="false" ht="15" hidden="false" customHeight="false" outlineLevel="0" collapsed="false">
      <c r="A60" s="0" t="s">
        <v>136</v>
      </c>
      <c r="B60" s="0" t="s">
        <v>105</v>
      </c>
      <c r="C60" s="0" t="s">
        <v>36</v>
      </c>
      <c r="D60" s="3" t="n">
        <v>332494</v>
      </c>
    </row>
    <row r="61" customFormat="false" ht="15" hidden="false" customHeight="false" outlineLevel="0" collapsed="false">
      <c r="A61" s="0" t="s">
        <v>136</v>
      </c>
      <c r="B61" s="0" t="s">
        <v>107</v>
      </c>
      <c r="C61" s="0" t="s">
        <v>30</v>
      </c>
      <c r="D61" s="3" t="n">
        <v>534764</v>
      </c>
    </row>
    <row r="62" customFormat="false" ht="15" hidden="false" customHeight="false" outlineLevel="0" collapsed="false">
      <c r="A62" s="0" t="s">
        <v>136</v>
      </c>
      <c r="B62" s="0" t="s">
        <v>103</v>
      </c>
      <c r="C62" s="0" t="s">
        <v>28</v>
      </c>
      <c r="D62" s="3" t="n">
        <v>1098917</v>
      </c>
    </row>
    <row r="63" customFormat="false" ht="15" hidden="false" customHeight="false" outlineLevel="0" collapsed="false">
      <c r="A63" s="0" t="s">
        <v>136</v>
      </c>
      <c r="B63" s="0" t="s">
        <v>116</v>
      </c>
      <c r="C63" s="0" t="s">
        <v>29</v>
      </c>
      <c r="D63" s="3" t="n">
        <v>1065367</v>
      </c>
    </row>
    <row r="64" customFormat="false" ht="15" hidden="false" customHeight="false" outlineLevel="0" collapsed="false">
      <c r="A64" s="0" t="s">
        <v>136</v>
      </c>
      <c r="B64" s="0" t="s">
        <v>116</v>
      </c>
      <c r="C64" s="0" t="s">
        <v>29</v>
      </c>
      <c r="D64" s="3" t="n">
        <v>319722</v>
      </c>
    </row>
    <row r="65" customFormat="false" ht="15" hidden="false" customHeight="false" outlineLevel="0" collapsed="false">
      <c r="A65" s="0" t="s">
        <v>136</v>
      </c>
      <c r="B65" s="0" t="s">
        <v>75</v>
      </c>
      <c r="C65" s="0" t="s">
        <v>39</v>
      </c>
      <c r="E65" s="3" t="n">
        <v>372771</v>
      </c>
    </row>
    <row r="66" customFormat="false" ht="15" hidden="false" customHeight="false" outlineLevel="0" collapsed="false">
      <c r="A66" s="0" t="s">
        <v>137</v>
      </c>
      <c r="B66" s="0" t="s">
        <v>75</v>
      </c>
      <c r="C66" s="0" t="s">
        <v>39</v>
      </c>
      <c r="E66" s="3" t="n">
        <v>412924</v>
      </c>
    </row>
    <row r="67" customFormat="false" ht="15" hidden="false" customHeight="false" outlineLevel="0" collapsed="false">
      <c r="A67" s="0" t="s">
        <v>138</v>
      </c>
      <c r="B67" s="0" t="s">
        <v>76</v>
      </c>
      <c r="C67" s="0" t="s">
        <v>27</v>
      </c>
      <c r="D67" s="3" t="n">
        <v>93749</v>
      </c>
    </row>
    <row r="68" customFormat="false" ht="15" hidden="false" customHeight="false" outlineLevel="0" collapsed="false">
      <c r="A68" s="0" t="s">
        <v>138</v>
      </c>
      <c r="B68" s="0" t="s">
        <v>75</v>
      </c>
      <c r="C68" s="0" t="s">
        <v>39</v>
      </c>
      <c r="E68" s="3" t="n">
        <v>85354</v>
      </c>
    </row>
    <row r="69" customFormat="false" ht="15" hidden="false" customHeight="false" outlineLevel="0" collapsed="false">
      <c r="A69" s="0" t="s">
        <v>139</v>
      </c>
      <c r="B69" s="0" t="s">
        <v>140</v>
      </c>
      <c r="C69" s="0" t="s">
        <v>37</v>
      </c>
      <c r="D69" s="3" t="n">
        <v>55000</v>
      </c>
    </row>
    <row r="70" customFormat="false" ht="15" hidden="false" customHeight="false" outlineLevel="0" collapsed="false">
      <c r="A70" s="0" t="s">
        <v>139</v>
      </c>
      <c r="B70" s="0" t="s">
        <v>140</v>
      </c>
      <c r="C70" s="0" t="s">
        <v>37</v>
      </c>
      <c r="D70" s="3" t="n">
        <v>74144</v>
      </c>
    </row>
    <row r="71" customFormat="false" ht="15" hidden="false" customHeight="false" outlineLevel="0" collapsed="false">
      <c r="A71" s="0" t="s">
        <v>139</v>
      </c>
      <c r="B71" s="0" t="s">
        <v>141</v>
      </c>
      <c r="C71" s="0" t="s">
        <v>39</v>
      </c>
      <c r="E71" s="3" t="n">
        <v>224204</v>
      </c>
    </row>
    <row r="72" customFormat="false" ht="15" hidden="false" customHeight="false" outlineLevel="0" collapsed="false">
      <c r="A72" s="0" t="s">
        <v>142</v>
      </c>
      <c r="B72" s="0" t="s">
        <v>141</v>
      </c>
      <c r="C72" s="0" t="s">
        <v>39</v>
      </c>
      <c r="E72" s="3" t="n">
        <v>275535</v>
      </c>
    </row>
    <row r="73" customFormat="false" ht="15" hidden="false" customHeight="false" outlineLevel="0" collapsed="false">
      <c r="A73" s="0" t="s">
        <v>143</v>
      </c>
      <c r="B73" s="0" t="s">
        <v>141</v>
      </c>
      <c r="C73" s="0" t="s">
        <v>39</v>
      </c>
      <c r="E73" s="3" t="n">
        <v>94612</v>
      </c>
    </row>
    <row r="74" customFormat="false" ht="15" hidden="false" customHeight="false" outlineLevel="0" collapsed="false">
      <c r="A74" s="0" t="s">
        <v>143</v>
      </c>
      <c r="B74" s="0" t="s">
        <v>144</v>
      </c>
      <c r="C74" s="0" t="s">
        <v>34</v>
      </c>
      <c r="D74" s="3" t="n">
        <v>77378</v>
      </c>
    </row>
    <row r="75" customFormat="false" ht="15" hidden="false" customHeight="false" outlineLevel="0" collapsed="false">
      <c r="A75" s="0" t="s">
        <v>143</v>
      </c>
      <c r="B75" s="0" t="s">
        <v>145</v>
      </c>
      <c r="C75" s="0" t="s">
        <v>34</v>
      </c>
      <c r="D75" s="3" t="n">
        <v>3938</v>
      </c>
    </row>
    <row r="76" customFormat="false" ht="15" hidden="false" customHeight="false" outlineLevel="0" collapsed="false">
      <c r="A76" s="0" t="s">
        <v>143</v>
      </c>
      <c r="B76" s="0" t="s">
        <v>146</v>
      </c>
      <c r="C76" s="0" t="s">
        <v>34</v>
      </c>
      <c r="D76" s="3" t="n">
        <v>241508</v>
      </c>
    </row>
    <row r="77" customFormat="false" ht="15" hidden="false" customHeight="false" outlineLevel="0" collapsed="false">
      <c r="A77" s="0" t="s">
        <v>147</v>
      </c>
      <c r="B77" s="0" t="s">
        <v>141</v>
      </c>
      <c r="C77" s="0" t="s">
        <v>39</v>
      </c>
      <c r="E77" s="3" t="n">
        <v>361877</v>
      </c>
    </row>
    <row r="78" customFormat="false" ht="15" hidden="false" customHeight="false" outlineLevel="0" collapsed="false">
      <c r="A78" s="0" t="s">
        <v>148</v>
      </c>
      <c r="B78" s="0" t="s">
        <v>141</v>
      </c>
      <c r="C78" s="0" t="s">
        <v>39</v>
      </c>
      <c r="E78" s="3" t="n">
        <v>283741</v>
      </c>
    </row>
    <row r="79" customFormat="false" ht="15" hidden="false" customHeight="false" outlineLevel="0" collapsed="false">
      <c r="A79" s="0" t="s">
        <v>148</v>
      </c>
      <c r="B79" s="0" t="s">
        <v>103</v>
      </c>
      <c r="C79" s="0" t="s">
        <v>28</v>
      </c>
      <c r="D79" s="3" t="n">
        <v>26400</v>
      </c>
    </row>
    <row r="80" customFormat="false" ht="15" hidden="false" customHeight="false" outlineLevel="0" collapsed="false">
      <c r="A80" s="0" t="s">
        <v>148</v>
      </c>
      <c r="B80" s="0" t="s">
        <v>96</v>
      </c>
      <c r="C80" s="0" t="s">
        <v>37</v>
      </c>
      <c r="D80" s="3" t="n">
        <v>26568</v>
      </c>
      <c r="F80" s="13" t="s">
        <v>149</v>
      </c>
    </row>
    <row r="81" customFormat="false" ht="15" hidden="false" customHeight="false" outlineLevel="0" collapsed="false">
      <c r="A81" s="0" t="s">
        <v>150</v>
      </c>
      <c r="B81" s="0" t="s">
        <v>140</v>
      </c>
      <c r="C81" s="0" t="s">
        <v>37</v>
      </c>
      <c r="D81" s="3" t="n">
        <v>25649</v>
      </c>
    </row>
    <row r="82" customFormat="false" ht="15" hidden="false" customHeight="false" outlineLevel="0" collapsed="false">
      <c r="A82" s="0" t="s">
        <v>150</v>
      </c>
      <c r="B82" s="0" t="s">
        <v>140</v>
      </c>
      <c r="C82" s="0" t="s">
        <v>37</v>
      </c>
      <c r="D82" s="3" t="n">
        <v>1366</v>
      </c>
    </row>
    <row r="83" customFormat="false" ht="15" hidden="false" customHeight="false" outlineLevel="0" collapsed="false">
      <c r="A83" s="0" t="s">
        <v>150</v>
      </c>
      <c r="B83" s="0" t="s">
        <v>140</v>
      </c>
      <c r="C83" s="0" t="s">
        <v>37</v>
      </c>
      <c r="D83" s="3" t="n">
        <v>3923</v>
      </c>
      <c r="F83" s="13" t="s">
        <v>151</v>
      </c>
    </row>
    <row r="84" customFormat="false" ht="15" hidden="false" customHeight="false" outlineLevel="0" collapsed="false">
      <c r="A84" s="0" t="s">
        <v>150</v>
      </c>
      <c r="B84" s="0" t="s">
        <v>152</v>
      </c>
      <c r="C84" s="0" t="s">
        <v>29</v>
      </c>
      <c r="D84" s="3" t="n">
        <v>232054</v>
      </c>
    </row>
    <row r="85" customFormat="false" ht="15" hidden="false" customHeight="false" outlineLevel="0" collapsed="false">
      <c r="A85" s="0" t="s">
        <v>150</v>
      </c>
      <c r="B85" s="0" t="s">
        <v>153</v>
      </c>
      <c r="C85" s="0" t="s">
        <v>34</v>
      </c>
      <c r="D85" s="3" t="n">
        <v>537169</v>
      </c>
    </row>
    <row r="86" customFormat="false" ht="15" hidden="false" customHeight="false" outlineLevel="0" collapsed="false">
      <c r="A86" s="0" t="s">
        <v>150</v>
      </c>
      <c r="B86" s="0" t="s">
        <v>141</v>
      </c>
      <c r="C86" s="0" t="s">
        <v>39</v>
      </c>
      <c r="E86" s="3" t="n">
        <v>14008</v>
      </c>
    </row>
    <row r="87" customFormat="false" ht="15" hidden="false" customHeight="false" outlineLevel="0" collapsed="false">
      <c r="A87" s="0" t="s">
        <v>154</v>
      </c>
      <c r="B87" s="0" t="s">
        <v>141</v>
      </c>
      <c r="C87" s="0" t="s">
        <v>39</v>
      </c>
      <c r="E87" s="3" t="n">
        <v>1815</v>
      </c>
    </row>
    <row r="88" customFormat="false" ht="15" hidden="false" customHeight="false" outlineLevel="0" collapsed="false">
      <c r="A88" s="0" t="s">
        <v>155</v>
      </c>
      <c r="B88" s="0" t="s">
        <v>141</v>
      </c>
      <c r="C88" s="0" t="s">
        <v>39</v>
      </c>
      <c r="E88" s="3" t="n">
        <v>263696</v>
      </c>
    </row>
    <row r="89" customFormat="false" ht="15" hidden="false" customHeight="false" outlineLevel="0" collapsed="false">
      <c r="A89" s="0" t="s">
        <v>156</v>
      </c>
      <c r="B89" s="0" t="s">
        <v>141</v>
      </c>
      <c r="C89" s="0" t="s">
        <v>39</v>
      </c>
      <c r="E89" s="3" t="n">
        <v>582896</v>
      </c>
    </row>
    <row r="90" customFormat="false" ht="15" hidden="false" customHeight="false" outlineLevel="0" collapsed="false">
      <c r="A90" s="0" t="s">
        <v>157</v>
      </c>
      <c r="B90" s="0" t="s">
        <v>141</v>
      </c>
      <c r="C90" s="0" t="s">
        <v>39</v>
      </c>
      <c r="E90" s="3" t="n">
        <v>709003</v>
      </c>
    </row>
    <row r="91" customFormat="false" ht="15" hidden="false" customHeight="false" outlineLevel="0" collapsed="false">
      <c r="A91" s="0" t="s">
        <v>158</v>
      </c>
      <c r="B91" s="0" t="s">
        <v>141</v>
      </c>
      <c r="C91" s="0" t="s">
        <v>39</v>
      </c>
      <c r="E91" s="3" t="n">
        <v>112818</v>
      </c>
    </row>
    <row r="92" customFormat="false" ht="15" hidden="false" customHeight="false" outlineLevel="0" collapsed="false">
      <c r="A92" s="0" t="s">
        <v>159</v>
      </c>
      <c r="B92" s="0" t="s">
        <v>141</v>
      </c>
      <c r="C92" s="0" t="s">
        <v>39</v>
      </c>
      <c r="E92" s="3" t="n">
        <v>164928</v>
      </c>
    </row>
    <row r="93" customFormat="false" ht="15" hidden="false" customHeight="false" outlineLevel="0" collapsed="false">
      <c r="A93" s="0" t="s">
        <v>160</v>
      </c>
      <c r="B93" s="0" t="s">
        <v>141</v>
      </c>
      <c r="C93" s="0" t="s">
        <v>39</v>
      </c>
      <c r="E93" s="3" t="n">
        <v>267582</v>
      </c>
      <c r="F93" s="13" t="s">
        <v>161</v>
      </c>
    </row>
    <row r="94" customFormat="false" ht="15" hidden="false" customHeight="false" outlineLevel="0" collapsed="false">
      <c r="A94" s="0" t="s">
        <v>160</v>
      </c>
      <c r="B94" s="0" t="s">
        <v>140</v>
      </c>
      <c r="C94" s="0" t="s">
        <v>37</v>
      </c>
      <c r="D94" s="3" t="n">
        <v>42196</v>
      </c>
    </row>
    <row r="95" customFormat="false" ht="15" hidden="false" customHeight="false" outlineLevel="0" collapsed="false">
      <c r="A95" s="0" t="s">
        <v>162</v>
      </c>
      <c r="B95" s="0" t="s">
        <v>141</v>
      </c>
      <c r="C95" s="0" t="s">
        <v>39</v>
      </c>
      <c r="E95" s="3" t="n">
        <v>437262</v>
      </c>
    </row>
    <row r="96" customFormat="false" ht="15" hidden="false" customHeight="false" outlineLevel="0" collapsed="false">
      <c r="A96" s="0" t="s">
        <v>162</v>
      </c>
      <c r="B96" s="0" t="s">
        <v>140</v>
      </c>
      <c r="C96" s="0" t="s">
        <v>37</v>
      </c>
      <c r="D96" s="3" t="n">
        <v>19635</v>
      </c>
    </row>
    <row r="97" customFormat="false" ht="15" hidden="false" customHeight="false" outlineLevel="0" collapsed="false">
      <c r="A97" s="0" t="s">
        <v>162</v>
      </c>
      <c r="B97" s="0" t="s">
        <v>163</v>
      </c>
      <c r="C97" s="0" t="s">
        <v>32</v>
      </c>
      <c r="D97" s="3" t="n">
        <v>177143</v>
      </c>
    </row>
    <row r="98" customFormat="false" ht="15" hidden="false" customHeight="false" outlineLevel="0" collapsed="false">
      <c r="A98" s="0" t="s">
        <v>164</v>
      </c>
      <c r="B98" s="0" t="s">
        <v>75</v>
      </c>
      <c r="C98" s="0" t="s">
        <v>39</v>
      </c>
      <c r="E98" s="3" t="n">
        <v>782612</v>
      </c>
    </row>
    <row r="99" customFormat="false" ht="15" hidden="false" customHeight="false" outlineLevel="0" collapsed="false">
      <c r="A99" s="0" t="s">
        <v>165</v>
      </c>
      <c r="B99" s="0" t="s">
        <v>75</v>
      </c>
      <c r="C99" s="0" t="s">
        <v>39</v>
      </c>
      <c r="E99" s="3" t="n">
        <v>239795</v>
      </c>
    </row>
    <row r="100" customFormat="false" ht="15" hidden="false" customHeight="false" outlineLevel="0" collapsed="false">
      <c r="A100" s="0" t="s">
        <v>166</v>
      </c>
      <c r="B100" s="0" t="s">
        <v>94</v>
      </c>
      <c r="C100" s="0" t="s">
        <v>32</v>
      </c>
      <c r="D100" s="3" t="n">
        <v>75296</v>
      </c>
    </row>
    <row r="101" customFormat="false" ht="15" hidden="false" customHeight="false" outlineLevel="0" collapsed="false">
      <c r="A101" s="0" t="s">
        <v>166</v>
      </c>
      <c r="B101" s="0" t="s">
        <v>134</v>
      </c>
      <c r="C101" s="0" t="s">
        <v>32</v>
      </c>
      <c r="D101" s="3" t="n">
        <v>54788</v>
      </c>
    </row>
    <row r="102" customFormat="false" ht="15" hidden="false" customHeight="false" outlineLevel="0" collapsed="false">
      <c r="A102" s="0" t="s">
        <v>166</v>
      </c>
      <c r="B102" s="0" t="s">
        <v>167</v>
      </c>
      <c r="C102" s="0" t="s">
        <v>34</v>
      </c>
      <c r="D102" s="3" t="n">
        <v>93448</v>
      </c>
    </row>
    <row r="103" customFormat="false" ht="15" hidden="false" customHeight="false" outlineLevel="0" collapsed="false">
      <c r="A103" s="0" t="s">
        <v>166</v>
      </c>
      <c r="B103" s="0" t="s">
        <v>75</v>
      </c>
      <c r="C103" s="0" t="s">
        <v>39</v>
      </c>
      <c r="E103" s="3" t="n">
        <v>126657</v>
      </c>
    </row>
    <row r="104" customFormat="false" ht="15" hidden="false" customHeight="false" outlineLevel="0" collapsed="false">
      <c r="A104" s="0" t="s">
        <v>166</v>
      </c>
      <c r="B104" s="0" t="s">
        <v>98</v>
      </c>
      <c r="C104" s="0" t="s">
        <v>32</v>
      </c>
      <c r="D104" s="3" t="n">
        <v>175402</v>
      </c>
    </row>
    <row r="105" customFormat="false" ht="15" hidden="false" customHeight="false" outlineLevel="0" collapsed="false">
      <c r="A105" s="0" t="s">
        <v>166</v>
      </c>
      <c r="B105" s="0" t="s">
        <v>168</v>
      </c>
      <c r="C105" s="0" t="s">
        <v>32</v>
      </c>
      <c r="D105" s="3" t="n">
        <v>51688</v>
      </c>
    </row>
    <row r="106" customFormat="false" ht="15" hidden="false" customHeight="false" outlineLevel="0" collapsed="false">
      <c r="A106" s="0" t="s">
        <v>166</v>
      </c>
      <c r="B106" s="0" t="s">
        <v>92</v>
      </c>
      <c r="C106" s="0" t="s">
        <v>32</v>
      </c>
      <c r="D106" s="3" t="n">
        <v>90858</v>
      </c>
    </row>
    <row r="107" customFormat="false" ht="15" hidden="false" customHeight="false" outlineLevel="0" collapsed="false">
      <c r="A107" s="0" t="s">
        <v>169</v>
      </c>
      <c r="B107" s="0" t="s">
        <v>75</v>
      </c>
      <c r="C107" s="0" t="s">
        <v>39</v>
      </c>
      <c r="E107" s="3" t="n">
        <v>747225</v>
      </c>
    </row>
    <row r="108" customFormat="false" ht="15" hidden="false" customHeight="false" outlineLevel="0" collapsed="false">
      <c r="A108" s="0" t="s">
        <v>170</v>
      </c>
      <c r="B108" s="0" t="s">
        <v>75</v>
      </c>
      <c r="C108" s="0" t="s">
        <v>39</v>
      </c>
      <c r="E108" s="3" t="n">
        <v>199082</v>
      </c>
    </row>
    <row r="109" customFormat="false" ht="15" hidden="false" customHeight="false" outlineLevel="0" collapsed="false">
      <c r="A109" s="0" t="s">
        <v>171</v>
      </c>
      <c r="B109" s="0" t="s">
        <v>85</v>
      </c>
      <c r="C109" s="0" t="s">
        <v>34</v>
      </c>
      <c r="D109" s="3" t="n">
        <v>90162</v>
      </c>
    </row>
    <row r="110" customFormat="false" ht="15" hidden="false" customHeight="false" outlineLevel="0" collapsed="false">
      <c r="A110" s="0" t="s">
        <v>171</v>
      </c>
      <c r="B110" s="0" t="s">
        <v>82</v>
      </c>
      <c r="C110" s="0" t="s">
        <v>33</v>
      </c>
      <c r="D110" s="3" t="n">
        <v>752280</v>
      </c>
    </row>
    <row r="111" customFormat="false" ht="15" hidden="false" customHeight="false" outlineLevel="0" collapsed="false">
      <c r="A111" s="0" t="s">
        <v>171</v>
      </c>
      <c r="B111" s="0" t="s">
        <v>103</v>
      </c>
      <c r="C111" s="0" t="s">
        <v>28</v>
      </c>
      <c r="D111" s="3" t="n">
        <v>412145</v>
      </c>
    </row>
    <row r="112" customFormat="false" ht="15" hidden="false" customHeight="false" outlineLevel="0" collapsed="false">
      <c r="A112" s="0" t="s">
        <v>171</v>
      </c>
      <c r="B112" s="0" t="s">
        <v>107</v>
      </c>
      <c r="C112" s="0" t="s">
        <v>30</v>
      </c>
      <c r="D112" s="3" t="n">
        <v>408959</v>
      </c>
    </row>
    <row r="113" customFormat="false" ht="15" hidden="false" customHeight="false" outlineLevel="0" collapsed="false">
      <c r="A113" s="0" t="s">
        <v>171</v>
      </c>
      <c r="B113" s="0" t="s">
        <v>80</v>
      </c>
      <c r="C113" s="0" t="s">
        <v>31</v>
      </c>
      <c r="D113" s="3" t="n">
        <v>341200</v>
      </c>
    </row>
    <row r="114" customFormat="false" ht="15" hidden="false" customHeight="false" outlineLevel="0" collapsed="false">
      <c r="A114" s="0" t="s">
        <v>171</v>
      </c>
      <c r="B114" s="0" t="s">
        <v>107</v>
      </c>
      <c r="C114" s="0" t="s">
        <v>30</v>
      </c>
      <c r="D114" s="3" t="n">
        <v>200000</v>
      </c>
    </row>
    <row r="115" customFormat="false" ht="15" hidden="false" customHeight="false" outlineLevel="0" collapsed="false">
      <c r="A115" s="0" t="s">
        <v>171</v>
      </c>
      <c r="B115" s="0" t="s">
        <v>76</v>
      </c>
      <c r="C115" s="0" t="s">
        <v>27</v>
      </c>
      <c r="D115" s="3" t="n">
        <v>1460000</v>
      </c>
    </row>
    <row r="116" customFormat="false" ht="15" hidden="false" customHeight="false" outlineLevel="0" collapsed="false">
      <c r="A116" s="0" t="s">
        <v>171</v>
      </c>
      <c r="B116" s="0" t="s">
        <v>75</v>
      </c>
      <c r="C116" s="0" t="s">
        <v>39</v>
      </c>
      <c r="E116" s="3" t="n">
        <v>702065</v>
      </c>
    </row>
    <row r="117" customFormat="false" ht="15" hidden="false" customHeight="false" outlineLevel="0" collapsed="false">
      <c r="A117" s="0" t="s">
        <v>171</v>
      </c>
      <c r="B117" s="0" t="s">
        <v>172</v>
      </c>
      <c r="C117" s="0" t="s">
        <v>35</v>
      </c>
      <c r="E117" s="3" t="n">
        <v>398000</v>
      </c>
    </row>
    <row r="118" customFormat="false" ht="15" hidden="false" customHeight="false" outlineLevel="0" collapsed="false">
      <c r="A118" s="0" t="s">
        <v>171</v>
      </c>
      <c r="B118" s="0" t="s">
        <v>90</v>
      </c>
      <c r="C118" s="0" t="s">
        <v>35</v>
      </c>
      <c r="D118" s="3" t="n">
        <v>442242</v>
      </c>
    </row>
    <row r="119" customFormat="false" ht="15" hidden="false" customHeight="false" outlineLevel="0" collapsed="false">
      <c r="A119" s="0" t="s">
        <v>173</v>
      </c>
      <c r="B119" s="0" t="s">
        <v>75</v>
      </c>
      <c r="C119" s="0" t="s">
        <v>39</v>
      </c>
      <c r="E119" s="3" t="n">
        <v>248682</v>
      </c>
    </row>
    <row r="120" customFormat="false" ht="15" hidden="false" customHeight="false" outlineLevel="0" collapsed="false">
      <c r="A120" s="0" t="s">
        <v>173</v>
      </c>
      <c r="B120" s="0" t="s">
        <v>96</v>
      </c>
      <c r="C120" s="0" t="s">
        <v>38</v>
      </c>
      <c r="D120" s="3" t="n">
        <v>50102</v>
      </c>
    </row>
    <row r="121" customFormat="false" ht="15" hidden="false" customHeight="false" outlineLevel="0" collapsed="false">
      <c r="A121" s="0" t="s">
        <v>174</v>
      </c>
      <c r="B121" s="0" t="s">
        <v>75</v>
      </c>
      <c r="C121" s="0" t="s">
        <v>39</v>
      </c>
      <c r="E121" s="3" t="n">
        <v>300626</v>
      </c>
    </row>
    <row r="122" customFormat="false" ht="15" hidden="false" customHeight="false" outlineLevel="0" collapsed="false">
      <c r="A122" s="0" t="s">
        <v>175</v>
      </c>
      <c r="B122" s="0" t="s">
        <v>85</v>
      </c>
      <c r="C122" s="0" t="s">
        <v>34</v>
      </c>
      <c r="D122" s="3" t="n">
        <v>262865</v>
      </c>
    </row>
    <row r="123" customFormat="false" ht="15" hidden="false" customHeight="false" outlineLevel="0" collapsed="false">
      <c r="A123" s="0" t="s">
        <v>175</v>
      </c>
      <c r="B123" s="0" t="s">
        <v>118</v>
      </c>
      <c r="C123" s="0" t="s">
        <v>34</v>
      </c>
      <c r="D123" s="3" t="n">
        <v>128338</v>
      </c>
    </row>
    <row r="124" customFormat="false" ht="15" hidden="false" customHeight="false" outlineLevel="0" collapsed="false">
      <c r="A124" s="0" t="s">
        <v>175</v>
      </c>
      <c r="B124" s="0" t="s">
        <v>75</v>
      </c>
      <c r="C124" s="0" t="s">
        <v>39</v>
      </c>
      <c r="E124" s="3" t="n">
        <v>174548</v>
      </c>
    </row>
    <row r="125" customFormat="false" ht="15" hidden="false" customHeight="false" outlineLevel="0" collapsed="false">
      <c r="A125" s="0" t="s">
        <v>175</v>
      </c>
      <c r="B125" s="0" t="s">
        <v>116</v>
      </c>
      <c r="C125" s="0" t="s">
        <v>29</v>
      </c>
      <c r="D125" s="3" t="n">
        <v>525592</v>
      </c>
    </row>
    <row r="126" customFormat="false" ht="15" hidden="false" customHeight="false" outlineLevel="0" collapsed="false">
      <c r="A126" s="0" t="s">
        <v>176</v>
      </c>
      <c r="B126" s="0" t="s">
        <v>75</v>
      </c>
      <c r="C126" s="0" t="s">
        <v>39</v>
      </c>
      <c r="E126" s="3" t="n">
        <v>584577</v>
      </c>
    </row>
    <row r="127" customFormat="false" ht="15" hidden="false" customHeight="false" outlineLevel="0" collapsed="false">
      <c r="A127" s="0" t="s">
        <v>177</v>
      </c>
      <c r="B127" s="0" t="s">
        <v>75</v>
      </c>
      <c r="C127" s="0" t="s">
        <v>39</v>
      </c>
      <c r="E127" s="3" t="n">
        <v>243241</v>
      </c>
    </row>
    <row r="128" customFormat="false" ht="15" hidden="false" customHeight="false" outlineLevel="0" collapsed="false">
      <c r="A128" s="0" t="s">
        <v>178</v>
      </c>
      <c r="B128" s="0" t="s">
        <v>75</v>
      </c>
      <c r="C128" s="0" t="s">
        <v>39</v>
      </c>
      <c r="E128" s="3" t="n">
        <v>82852</v>
      </c>
    </row>
    <row r="129" customFormat="false" ht="15" hidden="false" customHeight="false" outlineLevel="0" collapsed="false">
      <c r="A129" s="0" t="s">
        <v>179</v>
      </c>
      <c r="B129" s="0" t="s">
        <v>75</v>
      </c>
      <c r="C129" s="0" t="s">
        <v>39</v>
      </c>
      <c r="E129" s="3" t="n">
        <v>287798</v>
      </c>
    </row>
    <row r="130" customFormat="false" ht="15" hidden="false" customHeight="false" outlineLevel="0" collapsed="false">
      <c r="A130" s="0" t="s">
        <v>180</v>
      </c>
      <c r="B130" s="0" t="s">
        <v>75</v>
      </c>
      <c r="C130" s="0" t="s">
        <v>39</v>
      </c>
      <c r="E130" s="3" t="n">
        <v>27650</v>
      </c>
    </row>
    <row r="131" customFormat="false" ht="15" hidden="false" customHeight="false" outlineLevel="0" collapsed="false">
      <c r="A131" s="0" t="s">
        <v>181</v>
      </c>
      <c r="B131" s="0" t="s">
        <v>75</v>
      </c>
      <c r="C131" s="0" t="s">
        <v>39</v>
      </c>
      <c r="E131" s="3" t="n">
        <v>493549</v>
      </c>
    </row>
    <row r="132" customFormat="false" ht="15" hidden="false" customHeight="false" outlineLevel="0" collapsed="false">
      <c r="A132" s="0" t="s">
        <v>182</v>
      </c>
      <c r="B132" s="0" t="s">
        <v>75</v>
      </c>
      <c r="C132" s="0" t="s">
        <v>39</v>
      </c>
      <c r="E132" s="3" t="n">
        <v>1216863</v>
      </c>
    </row>
    <row r="133" customFormat="false" ht="15" hidden="false" customHeight="false" outlineLevel="0" collapsed="false">
      <c r="A133" s="0" t="s">
        <v>183</v>
      </c>
      <c r="B133" s="0" t="s">
        <v>75</v>
      </c>
      <c r="C133" s="0" t="s">
        <v>39</v>
      </c>
      <c r="E133" s="3" t="n">
        <v>416019</v>
      </c>
    </row>
    <row r="134" customFormat="false" ht="15" hidden="false" customHeight="false" outlineLevel="0" collapsed="false">
      <c r="A134" s="0" t="s">
        <v>184</v>
      </c>
      <c r="B134" s="0" t="s">
        <v>75</v>
      </c>
      <c r="C134" s="0" t="s">
        <v>39</v>
      </c>
      <c r="E134" s="3" t="n">
        <v>178336</v>
      </c>
    </row>
    <row r="135" customFormat="false" ht="15" hidden="false" customHeight="false" outlineLevel="0" collapsed="false">
      <c r="A135" s="0" t="s">
        <v>185</v>
      </c>
      <c r="B135" s="0" t="s">
        <v>75</v>
      </c>
      <c r="C135" s="0" t="s">
        <v>39</v>
      </c>
      <c r="E135" s="3" t="n">
        <v>315211</v>
      </c>
    </row>
    <row r="136" customFormat="false" ht="15" hidden="false" customHeight="false" outlineLevel="0" collapsed="false">
      <c r="A136" s="0" t="s">
        <v>186</v>
      </c>
      <c r="B136" s="0" t="s">
        <v>75</v>
      </c>
      <c r="C136" s="0" t="s">
        <v>39</v>
      </c>
      <c r="E136" s="3" t="n">
        <v>293.239</v>
      </c>
    </row>
    <row r="137" customFormat="false" ht="15" hidden="false" customHeight="false" outlineLevel="0" collapsed="false">
      <c r="A137" s="0" t="s">
        <v>187</v>
      </c>
      <c r="B137" s="0" t="s">
        <v>96</v>
      </c>
      <c r="C137" s="0" t="s">
        <v>37</v>
      </c>
      <c r="D137" s="3" t="n">
        <v>13.59</v>
      </c>
    </row>
    <row r="138" customFormat="false" ht="15" hidden="false" customHeight="false" outlineLevel="0" collapsed="false">
      <c r="A138" s="0" t="s">
        <v>187</v>
      </c>
      <c r="B138" s="0" t="s">
        <v>75</v>
      </c>
      <c r="C138" s="0" t="s">
        <v>39</v>
      </c>
      <c r="E138" s="3" t="n">
        <v>285.849</v>
      </c>
    </row>
    <row r="139" customFormat="false" ht="15" hidden="false" customHeight="false" outlineLevel="0" collapsed="false">
      <c r="A139" s="0" t="s">
        <v>188</v>
      </c>
      <c r="B139" s="0" t="s">
        <v>75</v>
      </c>
      <c r="C139" s="0" t="s">
        <v>39</v>
      </c>
      <c r="E139" s="3" t="n">
        <v>284.909</v>
      </c>
    </row>
    <row r="140" customFormat="false" ht="15" hidden="false" customHeight="false" outlineLevel="0" collapsed="false">
      <c r="A140" s="0" t="s">
        <v>189</v>
      </c>
      <c r="B140" s="0" t="s">
        <v>190</v>
      </c>
      <c r="C140" s="0" t="s">
        <v>34</v>
      </c>
      <c r="E140" s="3" t="n">
        <v>59</v>
      </c>
    </row>
    <row r="141" customFormat="false" ht="15" hidden="false" customHeight="false" outlineLevel="0" collapsed="false">
      <c r="A141" s="0" t="s">
        <v>191</v>
      </c>
      <c r="B141" s="0" t="s">
        <v>75</v>
      </c>
      <c r="C141" s="0" t="s">
        <v>39</v>
      </c>
      <c r="E141" s="3" t="n">
        <v>197.647</v>
      </c>
    </row>
    <row r="142" customFormat="false" ht="15" hidden="false" customHeight="false" outlineLevel="0" collapsed="false">
      <c r="A142" s="0" t="s">
        <v>191</v>
      </c>
      <c r="B142" s="0" t="s">
        <v>118</v>
      </c>
      <c r="C142" s="0" t="s">
        <v>34</v>
      </c>
      <c r="D142" s="3" t="n">
        <v>115.941</v>
      </c>
    </row>
    <row r="143" customFormat="false" ht="15" hidden="false" customHeight="false" outlineLevel="0" collapsed="false">
      <c r="A143" s="0" t="s">
        <v>192</v>
      </c>
      <c r="B143" s="0" t="s">
        <v>75</v>
      </c>
      <c r="C143" s="0" t="s">
        <v>39</v>
      </c>
      <c r="E143" s="3" t="n">
        <v>597734</v>
      </c>
    </row>
    <row r="144" customFormat="false" ht="15" hidden="false" customHeight="false" outlineLevel="0" collapsed="false">
      <c r="A144" s="0" t="s">
        <v>192</v>
      </c>
      <c r="B144" s="0" t="s">
        <v>193</v>
      </c>
      <c r="C144" s="0" t="s">
        <v>34</v>
      </c>
      <c r="E144" s="3" t="n">
        <v>152</v>
      </c>
    </row>
    <row r="145" customFormat="false" ht="15" hidden="false" customHeight="false" outlineLevel="0" collapsed="false">
      <c r="A145" s="0" t="s">
        <v>192</v>
      </c>
      <c r="B145" s="0" t="s">
        <v>194</v>
      </c>
      <c r="C145" s="0" t="s">
        <v>34</v>
      </c>
      <c r="E145" s="3" t="n">
        <v>14</v>
      </c>
    </row>
    <row r="146" customFormat="false" ht="15" hidden="false" customHeight="false" outlineLevel="0" collapsed="false">
      <c r="A146" s="0" t="s">
        <v>195</v>
      </c>
      <c r="B146" s="0" t="s">
        <v>96</v>
      </c>
      <c r="C146" s="0" t="s">
        <v>37</v>
      </c>
      <c r="D146" s="3" t="n">
        <v>37.016</v>
      </c>
    </row>
    <row r="147" customFormat="false" ht="15" hidden="false" customHeight="false" outlineLevel="0" collapsed="false">
      <c r="A147" s="0" t="s">
        <v>195</v>
      </c>
      <c r="B147" s="0" t="s">
        <v>92</v>
      </c>
      <c r="C147" s="0" t="s">
        <v>32</v>
      </c>
      <c r="D147" s="3" t="n">
        <v>67.868</v>
      </c>
    </row>
    <row r="148" customFormat="false" ht="15" hidden="false" customHeight="false" outlineLevel="0" collapsed="false">
      <c r="A148" s="0" t="s">
        <v>195</v>
      </c>
      <c r="B148" s="0" t="s">
        <v>98</v>
      </c>
      <c r="C148" s="0" t="s">
        <v>32</v>
      </c>
      <c r="D148" s="3" t="n">
        <v>514.088</v>
      </c>
    </row>
    <row r="149" customFormat="false" ht="15" hidden="false" customHeight="false" outlineLevel="0" collapsed="false">
      <c r="A149" s="0" t="s">
        <v>195</v>
      </c>
      <c r="B149" s="0" t="s">
        <v>196</v>
      </c>
      <c r="C149" s="0" t="s">
        <v>34</v>
      </c>
      <c r="D149" s="3" t="n">
        <v>75.972</v>
      </c>
    </row>
    <row r="150" customFormat="false" ht="15" hidden="false" customHeight="false" outlineLevel="0" collapsed="false">
      <c r="A150" s="0" t="s">
        <v>195</v>
      </c>
      <c r="B150" s="0" t="s">
        <v>90</v>
      </c>
      <c r="C150" s="0" t="s">
        <v>35</v>
      </c>
      <c r="D150" s="3" t="n">
        <v>504.256</v>
      </c>
    </row>
    <row r="151" customFormat="false" ht="15" hidden="false" customHeight="false" outlineLevel="0" collapsed="false">
      <c r="A151" s="0" t="s">
        <v>195</v>
      </c>
      <c r="B151" s="0" t="s">
        <v>75</v>
      </c>
      <c r="C151" s="0" t="s">
        <v>39</v>
      </c>
      <c r="E151" s="3" t="n">
        <v>355442</v>
      </c>
    </row>
    <row r="152" customFormat="false" ht="15" hidden="false" customHeight="false" outlineLevel="0" collapsed="false">
      <c r="A152" s="0" t="s">
        <v>195</v>
      </c>
      <c r="B152" s="0" t="s">
        <v>168</v>
      </c>
      <c r="C152" s="0" t="s">
        <v>32</v>
      </c>
      <c r="D152" s="3" t="n">
        <v>99.218</v>
      </c>
    </row>
    <row r="153" customFormat="false" ht="15" hidden="false" customHeight="false" outlineLevel="0" collapsed="false">
      <c r="A153" s="0" t="s">
        <v>195</v>
      </c>
      <c r="B153" s="0" t="s">
        <v>197</v>
      </c>
      <c r="C153" s="0" t="s">
        <v>34</v>
      </c>
      <c r="E153" s="3" t="n">
        <v>250000</v>
      </c>
    </row>
    <row r="154" customFormat="false" ht="15" hidden="false" customHeight="false" outlineLevel="0" collapsed="false">
      <c r="A154" s="0" t="s">
        <v>198</v>
      </c>
      <c r="B154" s="0" t="s">
        <v>197</v>
      </c>
      <c r="C154" s="0" t="s">
        <v>34</v>
      </c>
      <c r="E154" s="3" t="n">
        <v>450000</v>
      </c>
    </row>
    <row r="155" customFormat="false" ht="15" hidden="false" customHeight="false" outlineLevel="0" collapsed="false">
      <c r="A155" s="0" t="s">
        <v>198</v>
      </c>
      <c r="B155" s="0" t="s">
        <v>75</v>
      </c>
      <c r="C155" s="0" t="s">
        <v>39</v>
      </c>
      <c r="E155" s="3" t="n">
        <v>64575</v>
      </c>
    </row>
    <row r="156" customFormat="false" ht="15" hidden="false" customHeight="false" outlineLevel="0" collapsed="false">
      <c r="A156" s="0" t="s">
        <v>199</v>
      </c>
      <c r="B156" s="0" t="s">
        <v>75</v>
      </c>
      <c r="C156" s="0" t="s">
        <v>39</v>
      </c>
      <c r="E156" s="3" t="n">
        <v>41135</v>
      </c>
    </row>
    <row r="157" customFormat="false" ht="15" hidden="false" customHeight="false" outlineLevel="0" collapsed="false">
      <c r="A157" s="0" t="s">
        <v>200</v>
      </c>
      <c r="B157" s="0" t="s">
        <v>75</v>
      </c>
      <c r="C157" s="0" t="s">
        <v>39</v>
      </c>
      <c r="E157" s="3" t="n">
        <v>167276</v>
      </c>
    </row>
    <row r="158" customFormat="false" ht="15" hidden="false" customHeight="false" outlineLevel="0" collapsed="false">
      <c r="A158" s="0" t="s">
        <v>201</v>
      </c>
      <c r="B158" s="0" t="s">
        <v>75</v>
      </c>
      <c r="C158" s="0" t="s">
        <v>39</v>
      </c>
      <c r="E158" s="3" t="n">
        <v>1261158</v>
      </c>
    </row>
    <row r="159" customFormat="false" ht="15" hidden="false" customHeight="false" outlineLevel="0" collapsed="false">
      <c r="A159" s="0" t="s">
        <v>202</v>
      </c>
      <c r="B159" s="0" t="s">
        <v>75</v>
      </c>
      <c r="C159" s="0" t="s">
        <v>39</v>
      </c>
      <c r="E159" s="3" t="n">
        <v>623786</v>
      </c>
    </row>
    <row r="160" customFormat="false" ht="15" hidden="false" customHeight="false" outlineLevel="0" collapsed="false">
      <c r="A160" s="0" t="s">
        <v>203</v>
      </c>
      <c r="B160" s="0" t="s">
        <v>75</v>
      </c>
      <c r="C160" s="0" t="s">
        <v>39</v>
      </c>
      <c r="E160" s="3" t="n">
        <v>107735</v>
      </c>
    </row>
    <row r="161" customFormat="false" ht="15" hidden="false" customHeight="false" outlineLevel="0" collapsed="false">
      <c r="A161" s="0" t="s">
        <v>204</v>
      </c>
      <c r="B161" s="0" t="s">
        <v>75</v>
      </c>
      <c r="C161" s="0" t="s">
        <v>39</v>
      </c>
      <c r="E161" s="3" t="n">
        <v>194969</v>
      </c>
    </row>
    <row r="162" customFormat="false" ht="15" hidden="false" customHeight="false" outlineLevel="0" collapsed="false">
      <c r="A162" s="0" t="s">
        <v>205</v>
      </c>
      <c r="B162" s="0" t="s">
        <v>75</v>
      </c>
      <c r="C162" s="0" t="s">
        <v>39</v>
      </c>
      <c r="E162" s="3" t="n">
        <v>224874</v>
      </c>
    </row>
    <row r="163" customFormat="false" ht="15" hidden="false" customHeight="false" outlineLevel="0" collapsed="false">
      <c r="A163" s="0" t="s">
        <v>206</v>
      </c>
      <c r="B163" s="0" t="s">
        <v>75</v>
      </c>
      <c r="C163" s="0" t="s">
        <v>39</v>
      </c>
      <c r="E163" s="3" t="n">
        <v>6728</v>
      </c>
    </row>
    <row r="164" customFormat="false" ht="15" hidden="false" customHeight="false" outlineLevel="0" collapsed="false">
      <c r="A164" s="0" t="s">
        <v>207</v>
      </c>
      <c r="B164" s="0" t="s">
        <v>107</v>
      </c>
      <c r="C164" s="0" t="s">
        <v>30</v>
      </c>
      <c r="D164" s="3" t="n">
        <v>333787</v>
      </c>
    </row>
    <row r="165" customFormat="false" ht="15" hidden="false" customHeight="false" outlineLevel="0" collapsed="false">
      <c r="A165" s="0" t="s">
        <v>207</v>
      </c>
      <c r="B165" s="0" t="s">
        <v>85</v>
      </c>
      <c r="C165" s="0" t="s">
        <v>34</v>
      </c>
      <c r="D165" s="3" t="n">
        <v>197206</v>
      </c>
    </row>
    <row r="166" customFormat="false" ht="15" hidden="false" customHeight="false" outlineLevel="0" collapsed="false">
      <c r="A166" s="0" t="s">
        <v>207</v>
      </c>
      <c r="B166" s="0" t="s">
        <v>105</v>
      </c>
      <c r="C166" s="0" t="s">
        <v>36</v>
      </c>
      <c r="D166" s="3" t="n">
        <v>7368</v>
      </c>
    </row>
    <row r="167" customFormat="false" ht="15" hidden="false" customHeight="false" outlineLevel="0" collapsed="false">
      <c r="A167" s="0" t="s">
        <v>207</v>
      </c>
      <c r="B167" s="0" t="s">
        <v>103</v>
      </c>
      <c r="C167" s="0" t="s">
        <v>28</v>
      </c>
      <c r="D167" s="3" t="n">
        <v>560071</v>
      </c>
    </row>
    <row r="168" customFormat="false" ht="15" hidden="false" customHeight="false" outlineLevel="0" collapsed="false">
      <c r="A168" s="0" t="s">
        <v>207</v>
      </c>
      <c r="B168" s="0" t="s">
        <v>82</v>
      </c>
      <c r="C168" s="0" t="s">
        <v>33</v>
      </c>
      <c r="D168" s="3" t="n">
        <v>631880</v>
      </c>
    </row>
    <row r="169" customFormat="false" ht="15" hidden="false" customHeight="false" outlineLevel="0" collapsed="false">
      <c r="A169" s="0" t="s">
        <v>207</v>
      </c>
      <c r="B169" s="0" t="s">
        <v>80</v>
      </c>
      <c r="C169" s="0" t="s">
        <v>31</v>
      </c>
      <c r="D169" s="3" t="n">
        <v>1101110</v>
      </c>
    </row>
    <row r="170" customFormat="false" ht="15" hidden="false" customHeight="false" outlineLevel="0" collapsed="false">
      <c r="A170" s="0" t="s">
        <v>207</v>
      </c>
      <c r="B170" s="0" t="s">
        <v>75</v>
      </c>
      <c r="C170" s="0" t="s">
        <v>39</v>
      </c>
      <c r="E170" s="3" t="n">
        <v>845224</v>
      </c>
    </row>
    <row r="171" customFormat="false" ht="15" hidden="false" customHeight="false" outlineLevel="0" collapsed="false">
      <c r="A171" s="0" t="s">
        <v>207</v>
      </c>
      <c r="B171" s="0" t="s">
        <v>118</v>
      </c>
      <c r="C171" s="0" t="s">
        <v>34</v>
      </c>
      <c r="D171" s="3" t="n">
        <v>116453</v>
      </c>
    </row>
    <row r="172" customFormat="false" ht="15" hidden="false" customHeight="false" outlineLevel="0" collapsed="false">
      <c r="A172" s="0" t="s">
        <v>208</v>
      </c>
      <c r="B172" s="0" t="s">
        <v>75</v>
      </c>
      <c r="C172" s="0" t="s">
        <v>39</v>
      </c>
      <c r="E172" s="3" t="n">
        <v>397054</v>
      </c>
    </row>
    <row r="173" customFormat="false" ht="15" hidden="false" customHeight="false" outlineLevel="0" collapsed="false">
      <c r="A173" s="0" t="s">
        <v>209</v>
      </c>
      <c r="B173" s="0" t="s">
        <v>75</v>
      </c>
      <c r="C173" s="0" t="s">
        <v>39</v>
      </c>
      <c r="E173" s="3" t="n">
        <v>521439</v>
      </c>
    </row>
    <row r="174" customFormat="false" ht="15" hidden="false" customHeight="false" outlineLevel="0" collapsed="false">
      <c r="A174" s="0" t="s">
        <v>210</v>
      </c>
      <c r="B174" s="0" t="s">
        <v>75</v>
      </c>
      <c r="C174" s="0" t="s">
        <v>39</v>
      </c>
      <c r="E174" s="3" t="n">
        <v>46503</v>
      </c>
    </row>
    <row r="175" customFormat="false" ht="15" hidden="false" customHeight="false" outlineLevel="0" collapsed="false">
      <c r="A175" s="0" t="s">
        <v>211</v>
      </c>
      <c r="B175" s="0" t="s">
        <v>75</v>
      </c>
      <c r="C175" s="0" t="s">
        <v>39</v>
      </c>
      <c r="E175" s="3" t="n">
        <v>440008</v>
      </c>
    </row>
    <row r="176" customFormat="false" ht="15" hidden="false" customHeight="false" outlineLevel="0" collapsed="false">
      <c r="A176" s="0" t="s">
        <v>212</v>
      </c>
      <c r="B176" s="0" t="s">
        <v>75</v>
      </c>
      <c r="C176" s="0" t="s">
        <v>39</v>
      </c>
      <c r="E176" s="3" t="n">
        <v>27648</v>
      </c>
    </row>
    <row r="177" customFormat="false" ht="15" hidden="false" customHeight="false" outlineLevel="0" collapsed="false">
      <c r="A177" s="0" t="s">
        <v>213</v>
      </c>
      <c r="B177" s="0" t="s">
        <v>75</v>
      </c>
      <c r="C177" s="0" t="s">
        <v>39</v>
      </c>
      <c r="E177" s="3" t="n">
        <v>279430</v>
      </c>
    </row>
    <row r="178" customFormat="false" ht="15" hidden="false" customHeight="false" outlineLevel="0" collapsed="false">
      <c r="A178" s="0" t="s">
        <v>214</v>
      </c>
      <c r="B178" s="0" t="s">
        <v>75</v>
      </c>
      <c r="C178" s="0" t="s">
        <v>39</v>
      </c>
      <c r="E178" s="3" t="n">
        <v>285292</v>
      </c>
    </row>
    <row r="179" customFormat="false" ht="15" hidden="false" customHeight="false" outlineLevel="0" collapsed="false">
      <c r="A179" s="0" t="s">
        <v>214</v>
      </c>
      <c r="B179" s="0" t="s">
        <v>76</v>
      </c>
      <c r="C179" s="0" t="s">
        <v>27</v>
      </c>
      <c r="D179" s="3" t="n">
        <v>569351</v>
      </c>
    </row>
    <row r="180" customFormat="false" ht="15" hidden="false" customHeight="false" outlineLevel="0" collapsed="false">
      <c r="A180" s="0" t="s">
        <v>215</v>
      </c>
      <c r="B180" s="0" t="s">
        <v>75</v>
      </c>
      <c r="C180" s="0" t="s">
        <v>39</v>
      </c>
      <c r="E180" s="3" t="n">
        <v>861633</v>
      </c>
    </row>
    <row r="181" customFormat="false" ht="15" hidden="false" customHeight="false" outlineLevel="0" collapsed="false">
      <c r="A181" s="0" t="s">
        <v>215</v>
      </c>
      <c r="B181" s="0" t="s">
        <v>107</v>
      </c>
      <c r="C181" s="0" t="s">
        <v>30</v>
      </c>
      <c r="D181" s="3" t="n">
        <v>500000</v>
      </c>
    </row>
    <row r="182" customFormat="false" ht="15" hidden="false" customHeight="false" outlineLevel="0" collapsed="false">
      <c r="A182" s="0" t="s">
        <v>216</v>
      </c>
      <c r="B182" s="0" t="s">
        <v>75</v>
      </c>
      <c r="C182" s="0" t="s">
        <v>39</v>
      </c>
      <c r="E182" s="3" t="n">
        <v>561409</v>
      </c>
    </row>
    <row r="183" customFormat="false" ht="15" hidden="false" customHeight="false" outlineLevel="0" collapsed="false">
      <c r="A183" s="0" t="s">
        <v>217</v>
      </c>
      <c r="B183" s="0" t="s">
        <v>218</v>
      </c>
      <c r="C183" s="0" t="s">
        <v>39</v>
      </c>
      <c r="E183" s="3" t="n">
        <v>134277</v>
      </c>
    </row>
    <row r="184" customFormat="false" ht="15" hidden="false" customHeight="false" outlineLevel="0" collapsed="false">
      <c r="A184" s="0" t="s">
        <v>219</v>
      </c>
      <c r="B184" s="0" t="s">
        <v>75</v>
      </c>
      <c r="C184" s="0" t="s">
        <v>39</v>
      </c>
      <c r="E184" s="3" t="n">
        <v>335611</v>
      </c>
    </row>
    <row r="185" customFormat="false" ht="15" hidden="false" customHeight="false" outlineLevel="0" collapsed="false">
      <c r="A185" s="0" t="s">
        <v>220</v>
      </c>
      <c r="B185" s="0" t="s">
        <v>221</v>
      </c>
      <c r="C185" s="0" t="s">
        <v>32</v>
      </c>
      <c r="E185" s="3" t="n">
        <v>45000</v>
      </c>
    </row>
    <row r="186" customFormat="false" ht="15" hidden="false" customHeight="false" outlineLevel="0" collapsed="false">
      <c r="A186" s="0" t="s">
        <v>220</v>
      </c>
      <c r="B186" s="0" t="s">
        <v>196</v>
      </c>
      <c r="C186" s="0" t="s">
        <v>34</v>
      </c>
      <c r="D186" s="3" t="n">
        <v>62991</v>
      </c>
    </row>
    <row r="187" customFormat="false" ht="15" hidden="false" customHeight="false" outlineLevel="0" collapsed="false">
      <c r="A187" s="0" t="s">
        <v>220</v>
      </c>
      <c r="B187" s="0" t="s">
        <v>92</v>
      </c>
      <c r="C187" s="0" t="s">
        <v>32</v>
      </c>
      <c r="D187" s="3" t="n">
        <v>84897</v>
      </c>
    </row>
    <row r="188" customFormat="false" ht="15" hidden="false" customHeight="false" outlineLevel="0" collapsed="false">
      <c r="A188" s="0" t="s">
        <v>220</v>
      </c>
      <c r="B188" s="0" t="s">
        <v>168</v>
      </c>
      <c r="C188" s="0" t="s">
        <v>32</v>
      </c>
      <c r="D188" s="3" t="n">
        <v>72977</v>
      </c>
    </row>
    <row r="189" customFormat="false" ht="15" hidden="false" customHeight="false" outlineLevel="0" collapsed="false">
      <c r="A189" s="0" t="s">
        <v>220</v>
      </c>
      <c r="B189" s="0" t="s">
        <v>98</v>
      </c>
      <c r="C189" s="0" t="s">
        <v>32</v>
      </c>
      <c r="D189" s="3" t="n">
        <v>591458</v>
      </c>
    </row>
    <row r="190" customFormat="false" ht="15" hidden="false" customHeight="false" outlineLevel="0" collapsed="false">
      <c r="A190" s="0" t="s">
        <v>220</v>
      </c>
      <c r="B190" s="0" t="s">
        <v>75</v>
      </c>
      <c r="C190" s="0" t="s">
        <v>39</v>
      </c>
      <c r="E190" s="3" t="n">
        <v>167658</v>
      </c>
    </row>
    <row r="191" customFormat="false" ht="15" hidden="false" customHeight="false" outlineLevel="0" collapsed="false">
      <c r="A191" s="0" t="s">
        <v>222</v>
      </c>
      <c r="B191" s="0" t="s">
        <v>75</v>
      </c>
      <c r="C191" s="0" t="s">
        <v>39</v>
      </c>
      <c r="E191" s="3" t="n">
        <v>234749</v>
      </c>
    </row>
    <row r="192" customFormat="false" ht="15" hidden="false" customHeight="false" outlineLevel="0" collapsed="false">
      <c r="A192" s="0" t="s">
        <v>222</v>
      </c>
      <c r="B192" s="0" t="s">
        <v>90</v>
      </c>
      <c r="C192" s="0" t="s">
        <v>35</v>
      </c>
      <c r="D192" s="3" t="n">
        <v>853570</v>
      </c>
    </row>
    <row r="193" customFormat="false" ht="15" hidden="false" customHeight="false" outlineLevel="0" collapsed="false">
      <c r="A193" s="0" t="s">
        <v>223</v>
      </c>
      <c r="B193" s="0" t="s">
        <v>75</v>
      </c>
      <c r="C193" s="0" t="s">
        <v>39</v>
      </c>
      <c r="E193" s="3" t="n">
        <v>713494</v>
      </c>
    </row>
    <row r="194" customFormat="false" ht="15" hidden="false" customHeight="false" outlineLevel="0" collapsed="false">
      <c r="A194" s="0" t="s">
        <v>223</v>
      </c>
      <c r="B194" s="0" t="s">
        <v>96</v>
      </c>
      <c r="C194" s="0" t="s">
        <v>37</v>
      </c>
      <c r="D194" s="3" t="n">
        <v>35000</v>
      </c>
    </row>
    <row r="195" customFormat="false" ht="15" hidden="false" customHeight="false" outlineLevel="0" collapsed="false">
      <c r="A195" s="0" t="s">
        <v>223</v>
      </c>
      <c r="B195" s="0" t="s">
        <v>85</v>
      </c>
      <c r="C195" s="0" t="s">
        <v>34</v>
      </c>
      <c r="D195" s="3" t="n">
        <v>2300</v>
      </c>
    </row>
    <row r="196" customFormat="false" ht="15" hidden="false" customHeight="false" outlineLevel="0" collapsed="false">
      <c r="A196" s="0" t="s">
        <v>224</v>
      </c>
      <c r="B196" s="0" t="s">
        <v>75</v>
      </c>
      <c r="C196" s="0" t="s">
        <v>39</v>
      </c>
      <c r="E196" s="3" t="n">
        <v>91465</v>
      </c>
    </row>
    <row r="197" customFormat="false" ht="15" hidden="false" customHeight="false" outlineLevel="0" collapsed="false">
      <c r="A197" s="0" t="s">
        <v>225</v>
      </c>
      <c r="B197" s="0" t="s">
        <v>116</v>
      </c>
      <c r="C197" s="0" t="s">
        <v>29</v>
      </c>
      <c r="D197" s="3" t="n">
        <v>274345</v>
      </c>
    </row>
    <row r="198" customFormat="false" ht="15" hidden="false" customHeight="false" outlineLevel="0" collapsed="false">
      <c r="A198" s="0" t="s">
        <v>225</v>
      </c>
      <c r="B198" s="0" t="s">
        <v>116</v>
      </c>
      <c r="C198" s="0" t="s">
        <v>29</v>
      </c>
      <c r="D198" s="3" t="n">
        <v>273570</v>
      </c>
    </row>
    <row r="199" customFormat="false" ht="15" hidden="false" customHeight="false" outlineLevel="0" collapsed="false">
      <c r="A199" s="0" t="s">
        <v>225</v>
      </c>
      <c r="B199" s="0" t="s">
        <v>75</v>
      </c>
      <c r="C199" s="0" t="s">
        <v>39</v>
      </c>
      <c r="E199" s="3" t="n">
        <v>47412</v>
      </c>
    </row>
    <row r="200" customFormat="false" ht="15" hidden="false" customHeight="false" outlineLevel="0" collapsed="false">
      <c r="A200" s="0" t="s">
        <v>225</v>
      </c>
      <c r="B200" s="0" t="s">
        <v>221</v>
      </c>
      <c r="C200" s="0" t="s">
        <v>32</v>
      </c>
      <c r="E200" s="3" t="n">
        <v>5000</v>
      </c>
    </row>
    <row r="201" customFormat="false" ht="15" hidden="false" customHeight="false" outlineLevel="0" collapsed="false">
      <c r="A201" s="0" t="s">
        <v>225</v>
      </c>
      <c r="B201" s="0" t="s">
        <v>116</v>
      </c>
      <c r="C201" s="0" t="s">
        <v>29</v>
      </c>
      <c r="D201" s="3" t="n">
        <v>270642</v>
      </c>
    </row>
    <row r="202" customFormat="false" ht="15" hidden="false" customHeight="false" outlineLevel="0" collapsed="false">
      <c r="A202" s="0" t="s">
        <v>226</v>
      </c>
      <c r="B202" s="0" t="s">
        <v>75</v>
      </c>
      <c r="C202" s="0" t="s">
        <v>39</v>
      </c>
      <c r="E202" s="3" t="n">
        <v>225392</v>
      </c>
    </row>
    <row r="203" customFormat="false" ht="15" hidden="false" customHeight="false" outlineLevel="0" collapsed="false">
      <c r="A203" s="0" t="s">
        <v>227</v>
      </c>
      <c r="B203" s="0" t="s">
        <v>75</v>
      </c>
      <c r="C203" s="0" t="s">
        <v>39</v>
      </c>
      <c r="E203" s="3" t="n">
        <v>119516</v>
      </c>
    </row>
    <row r="204" customFormat="false" ht="15" hidden="false" customHeight="false" outlineLevel="0" collapsed="false">
      <c r="A204" s="0" t="s">
        <v>228</v>
      </c>
      <c r="B204" s="0" t="s">
        <v>75</v>
      </c>
      <c r="C204" s="0" t="s">
        <v>39</v>
      </c>
      <c r="E204" s="3" t="n">
        <v>625082</v>
      </c>
    </row>
    <row r="205" customFormat="false" ht="15" hidden="false" customHeight="false" outlineLevel="0" collapsed="false">
      <c r="A205" s="0" t="s">
        <v>229</v>
      </c>
      <c r="B205" s="0" t="s">
        <v>75</v>
      </c>
      <c r="C205" s="0" t="s">
        <v>39</v>
      </c>
      <c r="E205" s="3" t="n">
        <v>129926</v>
      </c>
    </row>
    <row r="206" customFormat="false" ht="15" hidden="false" customHeight="false" outlineLevel="0" collapsed="false">
      <c r="A206" s="0" t="s">
        <v>230</v>
      </c>
      <c r="B206" s="0" t="s">
        <v>82</v>
      </c>
      <c r="C206" s="0" t="s">
        <v>33</v>
      </c>
      <c r="D206" s="3" t="n">
        <v>854250</v>
      </c>
    </row>
    <row r="207" customFormat="false" ht="15" hidden="false" customHeight="false" outlineLevel="0" collapsed="false">
      <c r="A207" s="0" t="s">
        <v>230</v>
      </c>
      <c r="B207" s="0" t="s">
        <v>80</v>
      </c>
      <c r="C207" s="0" t="s">
        <v>31</v>
      </c>
      <c r="D207" s="3" t="n">
        <v>326400</v>
      </c>
    </row>
    <row r="208" customFormat="false" ht="15" hidden="false" customHeight="false" outlineLevel="0" collapsed="false">
      <c r="A208" s="0" t="s">
        <v>230</v>
      </c>
      <c r="B208" s="0" t="s">
        <v>76</v>
      </c>
      <c r="C208" s="0" t="s">
        <v>27</v>
      </c>
      <c r="D208" s="3" t="n">
        <v>1296888</v>
      </c>
    </row>
    <row r="209" customFormat="false" ht="15" hidden="false" customHeight="false" outlineLevel="0" collapsed="false">
      <c r="A209" s="0" t="s">
        <v>230</v>
      </c>
      <c r="B209" s="0" t="s">
        <v>75</v>
      </c>
      <c r="C209" s="0" t="s">
        <v>39</v>
      </c>
      <c r="E209" s="3" t="n">
        <v>179229</v>
      </c>
    </row>
    <row r="210" customFormat="false" ht="15" hidden="false" customHeight="false" outlineLevel="0" collapsed="false">
      <c r="A210" s="0" t="s">
        <v>230</v>
      </c>
      <c r="B210" s="0" t="s">
        <v>85</v>
      </c>
      <c r="C210" s="0" t="s">
        <v>34</v>
      </c>
      <c r="D210" s="3" t="n">
        <v>815234</v>
      </c>
    </row>
    <row r="211" customFormat="false" ht="15" hidden="false" customHeight="false" outlineLevel="0" collapsed="false">
      <c r="A211" s="0" t="s">
        <v>231</v>
      </c>
      <c r="B211" s="0" t="s">
        <v>75</v>
      </c>
      <c r="C211" s="0" t="s">
        <v>39</v>
      </c>
      <c r="E211" s="3" t="n">
        <v>525149</v>
      </c>
    </row>
    <row r="212" customFormat="false" ht="15" hidden="false" customHeight="false" outlineLevel="0" collapsed="false">
      <c r="A212" s="0" t="s">
        <v>232</v>
      </c>
      <c r="B212" s="0" t="s">
        <v>116</v>
      </c>
      <c r="C212" s="0" t="s">
        <v>29</v>
      </c>
      <c r="D212" s="3" t="n">
        <v>20936</v>
      </c>
    </row>
    <row r="213" customFormat="false" ht="15" hidden="false" customHeight="false" outlineLevel="0" collapsed="false">
      <c r="A213" s="0" t="s">
        <v>232</v>
      </c>
      <c r="B213" s="0" t="s">
        <v>75</v>
      </c>
      <c r="C213" s="0" t="s">
        <v>39</v>
      </c>
      <c r="E213" s="3" t="n">
        <v>712416</v>
      </c>
    </row>
    <row r="214" customFormat="false" ht="15" hidden="false" customHeight="false" outlineLevel="0" collapsed="false">
      <c r="A214" s="0" t="s">
        <v>233</v>
      </c>
      <c r="B214" s="0" t="s">
        <v>75</v>
      </c>
      <c r="C214" s="0" t="s">
        <v>39</v>
      </c>
      <c r="E214" s="3" t="n">
        <v>345383</v>
      </c>
    </row>
    <row r="215" customFormat="false" ht="15" hidden="false" customHeight="false" outlineLevel="0" collapsed="false">
      <c r="A215" s="0" t="s">
        <v>234</v>
      </c>
      <c r="B215" s="0" t="s">
        <v>75</v>
      </c>
      <c r="C215" s="0" t="s">
        <v>39</v>
      </c>
      <c r="E215" s="3" t="n">
        <v>135876</v>
      </c>
    </row>
    <row r="216" customFormat="false" ht="15" hidden="false" customHeight="false" outlineLevel="0" collapsed="false">
      <c r="A216" s="0" t="s">
        <v>235</v>
      </c>
      <c r="B216" s="0" t="s">
        <v>75</v>
      </c>
      <c r="C216" s="0" t="s">
        <v>39</v>
      </c>
      <c r="E216" s="3" t="n">
        <v>416642</v>
      </c>
    </row>
    <row r="217" customFormat="false" ht="15" hidden="false" customHeight="false" outlineLevel="0" collapsed="false">
      <c r="A217" s="0" t="s">
        <v>235</v>
      </c>
      <c r="B217" s="0" t="s">
        <v>103</v>
      </c>
      <c r="C217" s="0" t="s">
        <v>28</v>
      </c>
      <c r="D217" s="3" t="n">
        <v>595125</v>
      </c>
    </row>
    <row r="218" customFormat="false" ht="15" hidden="false" customHeight="false" outlineLevel="0" collapsed="false">
      <c r="A218" s="0" t="s">
        <v>235</v>
      </c>
      <c r="B218" s="0" t="s">
        <v>107</v>
      </c>
      <c r="C218" s="0" t="s">
        <v>30</v>
      </c>
      <c r="D218" s="3" t="n">
        <v>793468</v>
      </c>
    </row>
    <row r="219" customFormat="false" ht="15" hidden="false" customHeight="false" outlineLevel="0" collapsed="false">
      <c r="A219" s="0" t="s">
        <v>235</v>
      </c>
      <c r="B219" s="0" t="s">
        <v>105</v>
      </c>
      <c r="C219" s="0" t="s">
        <v>36</v>
      </c>
      <c r="D219" s="3" t="n">
        <v>653605</v>
      </c>
    </row>
    <row r="220" customFormat="false" ht="15" hidden="false" customHeight="false" outlineLevel="0" collapsed="false">
      <c r="A220" s="0" t="s">
        <v>235</v>
      </c>
      <c r="B220" s="0" t="s">
        <v>118</v>
      </c>
      <c r="C220" s="0" t="s">
        <v>34</v>
      </c>
      <c r="D220" s="3" t="n">
        <v>114125</v>
      </c>
    </row>
    <row r="221" customFormat="false" ht="15" hidden="false" customHeight="false" outlineLevel="0" collapsed="false">
      <c r="A221" s="0" t="s">
        <v>235</v>
      </c>
      <c r="B221" s="0" t="s">
        <v>116</v>
      </c>
      <c r="C221" s="0" t="s">
        <v>29</v>
      </c>
      <c r="D221" s="3" t="n">
        <v>579835</v>
      </c>
    </row>
    <row r="222" customFormat="false" ht="15" hidden="false" customHeight="false" outlineLevel="0" collapsed="false">
      <c r="A222" s="0" t="s">
        <v>235</v>
      </c>
      <c r="B222" s="0" t="s">
        <v>116</v>
      </c>
      <c r="C222" s="0" t="s">
        <v>29</v>
      </c>
      <c r="D222" s="3" t="n">
        <v>759666</v>
      </c>
    </row>
    <row r="223" customFormat="false" ht="15" hidden="false" customHeight="false" outlineLevel="0" collapsed="false">
      <c r="A223" s="0" t="s">
        <v>235</v>
      </c>
      <c r="B223" s="0" t="s">
        <v>116</v>
      </c>
      <c r="C223" s="0" t="s">
        <v>29</v>
      </c>
      <c r="D223" s="3" t="n">
        <v>233084</v>
      </c>
    </row>
    <row r="224" customFormat="false" ht="15" hidden="false" customHeight="false" outlineLevel="0" collapsed="false">
      <c r="A224" s="0" t="s">
        <v>236</v>
      </c>
      <c r="B224" s="0" t="s">
        <v>75</v>
      </c>
      <c r="C224" s="0" t="s">
        <v>39</v>
      </c>
      <c r="E224" s="3" t="n">
        <v>836978</v>
      </c>
    </row>
    <row r="225" customFormat="false" ht="15" hidden="false" customHeight="false" outlineLevel="0" collapsed="false">
      <c r="A225" s="0" t="s">
        <v>237</v>
      </c>
      <c r="B225" s="0" t="s">
        <v>96</v>
      </c>
      <c r="C225" s="0" t="s">
        <v>37</v>
      </c>
      <c r="D225" s="3" t="n">
        <v>46400</v>
      </c>
    </row>
    <row r="226" customFormat="false" ht="15" hidden="false" customHeight="false" outlineLevel="0" collapsed="false">
      <c r="A226" s="0" t="s">
        <v>237</v>
      </c>
      <c r="B226" s="0" t="s">
        <v>75</v>
      </c>
      <c r="C226" s="0" t="s">
        <v>39</v>
      </c>
      <c r="E226" s="3" t="n">
        <v>341158</v>
      </c>
    </row>
    <row r="227" customFormat="false" ht="15" hidden="false" customHeight="false" outlineLevel="0" collapsed="false">
      <c r="A227" s="0" t="s">
        <v>237</v>
      </c>
      <c r="B227" s="0" t="s">
        <v>96</v>
      </c>
      <c r="C227" s="0" t="s">
        <v>37</v>
      </c>
      <c r="D227" s="3" t="n">
        <v>36481</v>
      </c>
    </row>
    <row r="228" customFormat="false" ht="15" hidden="false" customHeight="false" outlineLevel="0" collapsed="false">
      <c r="A228" s="0" t="s">
        <v>238</v>
      </c>
      <c r="B228" s="0" t="s">
        <v>75</v>
      </c>
      <c r="C228" s="0" t="s">
        <v>39</v>
      </c>
      <c r="E228" s="3" t="n">
        <v>375401</v>
      </c>
    </row>
    <row r="229" customFormat="false" ht="15" hidden="false" customHeight="false" outlineLevel="0" collapsed="false">
      <c r="A229" s="0" t="s">
        <v>239</v>
      </c>
      <c r="B229" s="0" t="s">
        <v>218</v>
      </c>
      <c r="C229" s="0" t="s">
        <v>39</v>
      </c>
      <c r="E229" s="3" t="n">
        <v>420174</v>
      </c>
      <c r="F229" s="13" t="s">
        <v>240</v>
      </c>
    </row>
    <row r="230" customFormat="false" ht="15" hidden="false" customHeight="false" outlineLevel="0" collapsed="false">
      <c r="A230" s="0" t="s">
        <v>241</v>
      </c>
      <c r="B230" s="0" t="s">
        <v>75</v>
      </c>
      <c r="C230" s="0" t="s">
        <v>39</v>
      </c>
      <c r="E230" s="3" t="n">
        <v>196608</v>
      </c>
    </row>
    <row r="231" customFormat="false" ht="15" hidden="false" customHeight="false" outlineLevel="0" collapsed="false">
      <c r="A231" s="0" t="s">
        <v>242</v>
      </c>
      <c r="B231" s="0" t="s">
        <v>75</v>
      </c>
      <c r="C231" s="0" t="s">
        <v>39</v>
      </c>
      <c r="E231" s="3" t="n">
        <v>430615</v>
      </c>
    </row>
    <row r="232" customFormat="false" ht="15" hidden="false" customHeight="false" outlineLevel="0" collapsed="false">
      <c r="A232" s="0" t="s">
        <v>242</v>
      </c>
      <c r="B232" s="0" t="s">
        <v>168</v>
      </c>
      <c r="C232" s="0" t="s">
        <v>32</v>
      </c>
      <c r="D232" s="3" t="n">
        <v>83004</v>
      </c>
    </row>
    <row r="233" customFormat="false" ht="15" hidden="false" customHeight="false" outlineLevel="0" collapsed="false">
      <c r="A233" s="0" t="s">
        <v>242</v>
      </c>
      <c r="B233" s="0" t="s">
        <v>98</v>
      </c>
      <c r="C233" s="0" t="s">
        <v>32</v>
      </c>
      <c r="D233" s="3" t="n">
        <v>604022</v>
      </c>
    </row>
    <row r="234" customFormat="false" ht="15" hidden="false" customHeight="false" outlineLevel="0" collapsed="false">
      <c r="A234" s="0" t="s">
        <v>243</v>
      </c>
      <c r="B234" s="0" t="s">
        <v>75</v>
      </c>
      <c r="C234" s="0" t="s">
        <v>39</v>
      </c>
      <c r="E234" s="3" t="n">
        <v>545138</v>
      </c>
    </row>
    <row r="235" customFormat="false" ht="15" hidden="false" customHeight="false" outlineLevel="0" collapsed="false">
      <c r="A235" s="0" t="s">
        <v>244</v>
      </c>
      <c r="B235" s="0" t="s">
        <v>75</v>
      </c>
      <c r="C235" s="0" t="s">
        <v>39</v>
      </c>
      <c r="E235" s="3" t="n">
        <v>79049</v>
      </c>
    </row>
    <row r="236" customFormat="false" ht="15" hidden="false" customHeight="false" outlineLevel="0" collapsed="false">
      <c r="A236" s="0" t="s">
        <v>245</v>
      </c>
      <c r="B236" s="0" t="s">
        <v>75</v>
      </c>
      <c r="C236" s="0" t="s">
        <v>39</v>
      </c>
      <c r="E236" s="3" t="n">
        <v>314839</v>
      </c>
    </row>
    <row r="237" customFormat="false" ht="15" hidden="false" customHeight="false" outlineLevel="0" collapsed="false">
      <c r="A237" s="0" t="s">
        <v>246</v>
      </c>
      <c r="B237" s="0" t="s">
        <v>75</v>
      </c>
      <c r="C237" s="0" t="s">
        <v>39</v>
      </c>
      <c r="E237" s="3" t="n">
        <v>86974</v>
      </c>
    </row>
    <row r="238" customFormat="false" ht="15" hidden="false" customHeight="false" outlineLevel="0" collapsed="false">
      <c r="A238" s="0" t="s">
        <v>246</v>
      </c>
      <c r="B238" s="0" t="s">
        <v>247</v>
      </c>
      <c r="C238" s="0" t="s">
        <v>34</v>
      </c>
      <c r="D238" s="3" t="n">
        <v>30963</v>
      </c>
    </row>
    <row r="239" customFormat="false" ht="15" hidden="false" customHeight="false" outlineLevel="0" collapsed="false">
      <c r="A239" s="0" t="s">
        <v>248</v>
      </c>
      <c r="B239" s="0" t="s">
        <v>75</v>
      </c>
      <c r="C239" s="0" t="s">
        <v>39</v>
      </c>
      <c r="E239" s="3" t="n">
        <v>622490</v>
      </c>
    </row>
    <row r="240" customFormat="false" ht="15" hidden="false" customHeight="false" outlineLevel="0" collapsed="false">
      <c r="A240" s="0" t="s">
        <v>249</v>
      </c>
      <c r="B240" s="0" t="s">
        <v>118</v>
      </c>
      <c r="C240" s="0" t="s">
        <v>32</v>
      </c>
      <c r="D240" s="3" t="n">
        <v>229770</v>
      </c>
    </row>
    <row r="241" customFormat="false" ht="15" hidden="false" customHeight="false" outlineLevel="0" collapsed="false">
      <c r="A241" s="0" t="s">
        <v>249</v>
      </c>
      <c r="B241" s="0" t="s">
        <v>116</v>
      </c>
      <c r="C241" s="0" t="s">
        <v>29</v>
      </c>
      <c r="D241" s="3" t="n">
        <v>586591</v>
      </c>
    </row>
    <row r="242" customFormat="false" ht="15" hidden="false" customHeight="false" outlineLevel="0" collapsed="false">
      <c r="A242" s="0" t="s">
        <v>249</v>
      </c>
      <c r="B242" s="0" t="s">
        <v>103</v>
      </c>
      <c r="C242" s="0" t="s">
        <v>28</v>
      </c>
      <c r="D242" s="3" t="n">
        <v>1335686</v>
      </c>
    </row>
    <row r="243" customFormat="false" ht="15" hidden="false" customHeight="false" outlineLevel="0" collapsed="false">
      <c r="A243" s="0" t="s">
        <v>249</v>
      </c>
      <c r="B243" s="0" t="s">
        <v>105</v>
      </c>
      <c r="C243" s="0" t="s">
        <v>36</v>
      </c>
      <c r="D243" s="3" t="n">
        <v>427626</v>
      </c>
    </row>
    <row r="244" customFormat="false" ht="15" hidden="false" customHeight="false" outlineLevel="0" collapsed="false">
      <c r="A244" s="0" t="s">
        <v>249</v>
      </c>
      <c r="B244" s="0" t="s">
        <v>116</v>
      </c>
      <c r="C244" s="0" t="s">
        <v>29</v>
      </c>
      <c r="D244" s="3" t="n">
        <v>577423</v>
      </c>
    </row>
    <row r="245" customFormat="false" ht="15" hidden="false" customHeight="false" outlineLevel="0" collapsed="false">
      <c r="A245" s="0" t="s">
        <v>249</v>
      </c>
      <c r="B245" s="0" t="s">
        <v>107</v>
      </c>
      <c r="C245" s="0" t="s">
        <v>30</v>
      </c>
      <c r="D245" s="3" t="n">
        <v>275143</v>
      </c>
    </row>
    <row r="246" customFormat="false" ht="15" hidden="false" customHeight="false" outlineLevel="0" collapsed="false">
      <c r="A246" s="0" t="s">
        <v>249</v>
      </c>
      <c r="B246" s="0" t="s">
        <v>80</v>
      </c>
      <c r="C246" s="0" t="s">
        <v>31</v>
      </c>
      <c r="D246" s="3" t="n">
        <v>854250</v>
      </c>
    </row>
    <row r="247" customFormat="false" ht="15" hidden="false" customHeight="false" outlineLevel="0" collapsed="false">
      <c r="A247" s="0" t="s">
        <v>249</v>
      </c>
      <c r="B247" s="0" t="s">
        <v>75</v>
      </c>
      <c r="C247" s="0" t="s">
        <v>39</v>
      </c>
      <c r="E247" s="3" t="n">
        <v>884845</v>
      </c>
    </row>
    <row r="248" customFormat="false" ht="15" hidden="false" customHeight="false" outlineLevel="0" collapsed="false">
      <c r="A248" s="0" t="s">
        <v>249</v>
      </c>
      <c r="B248" s="0" t="s">
        <v>90</v>
      </c>
      <c r="C248" s="0" t="s">
        <v>35</v>
      </c>
      <c r="D248" s="3" t="n">
        <v>77180</v>
      </c>
    </row>
    <row r="249" customFormat="false" ht="15" hidden="false" customHeight="false" outlineLevel="0" collapsed="false">
      <c r="A249" s="0" t="s">
        <v>249</v>
      </c>
      <c r="B249" s="0" t="s">
        <v>116</v>
      </c>
      <c r="C249" s="0" t="s">
        <v>29</v>
      </c>
      <c r="D249" s="3" t="n">
        <v>274889</v>
      </c>
    </row>
    <row r="250" customFormat="false" ht="15" hidden="false" customHeight="false" outlineLevel="0" collapsed="false">
      <c r="A250" s="0" t="s">
        <v>249</v>
      </c>
      <c r="B250" s="0" t="s">
        <v>82</v>
      </c>
      <c r="C250" s="0" t="s">
        <v>33</v>
      </c>
      <c r="D250" s="3" t="n">
        <v>368050</v>
      </c>
    </row>
    <row r="251" customFormat="false" ht="15" hidden="false" customHeight="false" outlineLevel="0" collapsed="false">
      <c r="A251" s="0" t="s">
        <v>250</v>
      </c>
      <c r="B251" s="0" t="s">
        <v>221</v>
      </c>
      <c r="C251" s="0" t="s">
        <v>32</v>
      </c>
      <c r="E251" s="3" t="n">
        <v>5000</v>
      </c>
    </row>
    <row r="252" customFormat="false" ht="15" hidden="false" customHeight="false" outlineLevel="0" collapsed="false">
      <c r="A252" s="0" t="s">
        <v>250</v>
      </c>
      <c r="B252" s="0" t="s">
        <v>75</v>
      </c>
      <c r="C252" s="0" t="s">
        <v>39</v>
      </c>
      <c r="E252" s="3" t="n">
        <v>316086</v>
      </c>
    </row>
    <row r="253" customFormat="false" ht="15" hidden="false" customHeight="false" outlineLevel="0" collapsed="false">
      <c r="A253" s="0" t="s">
        <v>250</v>
      </c>
      <c r="B253" s="0" t="s">
        <v>85</v>
      </c>
      <c r="C253" s="0" t="s">
        <v>34</v>
      </c>
      <c r="D253" s="3" t="n">
        <v>267090</v>
      </c>
    </row>
    <row r="254" customFormat="false" ht="15" hidden="false" customHeight="false" outlineLevel="0" collapsed="false">
      <c r="A254" s="0" t="s">
        <v>251</v>
      </c>
      <c r="B254" s="0" t="s">
        <v>221</v>
      </c>
      <c r="C254" s="0" t="s">
        <v>32</v>
      </c>
      <c r="E254" s="3" t="n">
        <v>5000</v>
      </c>
    </row>
    <row r="255" customFormat="false" ht="15" hidden="false" customHeight="false" outlineLevel="0" collapsed="false">
      <c r="A255" s="0" t="s">
        <v>251</v>
      </c>
      <c r="B255" s="0" t="s">
        <v>75</v>
      </c>
      <c r="C255" s="0" t="s">
        <v>39</v>
      </c>
      <c r="E255" s="3" t="n">
        <v>397498</v>
      </c>
    </row>
    <row r="256" customFormat="false" ht="15" hidden="false" customHeight="false" outlineLevel="0" collapsed="false">
      <c r="A256" s="0" t="s">
        <v>252</v>
      </c>
      <c r="B256" s="0" t="s">
        <v>75</v>
      </c>
      <c r="C256" s="0" t="s">
        <v>39</v>
      </c>
      <c r="E256" s="3" t="n">
        <v>888800</v>
      </c>
    </row>
    <row r="257" customFormat="false" ht="15" hidden="false" customHeight="false" outlineLevel="0" collapsed="false">
      <c r="A257" s="0" t="s">
        <v>253</v>
      </c>
      <c r="B257" s="0" t="s">
        <v>75</v>
      </c>
      <c r="C257" s="0" t="s">
        <v>39</v>
      </c>
      <c r="E257" s="3" t="n">
        <v>678407</v>
      </c>
    </row>
    <row r="258" customFormat="false" ht="15" hidden="false" customHeight="false" outlineLevel="0" collapsed="false">
      <c r="A258" s="0" t="s">
        <v>254</v>
      </c>
      <c r="B258" s="0" t="s">
        <v>75</v>
      </c>
      <c r="C258" s="0" t="s">
        <v>39</v>
      </c>
      <c r="E258" s="3" t="n">
        <v>159118</v>
      </c>
    </row>
    <row r="259" customFormat="false" ht="15" hidden="false" customHeight="false" outlineLevel="0" collapsed="false">
      <c r="A259" s="0" t="s">
        <v>255</v>
      </c>
      <c r="B259" s="0" t="s">
        <v>75</v>
      </c>
      <c r="C259" s="0" t="s">
        <v>39</v>
      </c>
      <c r="E259" s="3" t="n">
        <v>400024</v>
      </c>
    </row>
    <row r="260" customFormat="false" ht="15" hidden="false" customHeight="false" outlineLevel="0" collapsed="false">
      <c r="A260" s="0" t="s">
        <v>256</v>
      </c>
      <c r="B260" s="0" t="s">
        <v>221</v>
      </c>
      <c r="C260" s="0" t="s">
        <v>32</v>
      </c>
      <c r="E260" s="3" t="n">
        <v>10000</v>
      </c>
    </row>
    <row r="261" customFormat="false" ht="15" hidden="false" customHeight="false" outlineLevel="0" collapsed="false">
      <c r="A261" s="0" t="s">
        <v>256</v>
      </c>
      <c r="B261" s="0" t="s">
        <v>75</v>
      </c>
      <c r="C261" s="0" t="s">
        <v>39</v>
      </c>
      <c r="E261" s="3" t="n">
        <v>120654</v>
      </c>
    </row>
    <row r="262" customFormat="false" ht="15" hidden="false" customHeight="false" outlineLevel="0" collapsed="false">
      <c r="A262" s="0" t="s">
        <v>257</v>
      </c>
      <c r="B262" s="0" t="s">
        <v>75</v>
      </c>
      <c r="C262" s="0" t="s">
        <v>39</v>
      </c>
      <c r="E262" s="3" t="n">
        <v>401799</v>
      </c>
    </row>
    <row r="263" customFormat="false" ht="15" hidden="false" customHeight="false" outlineLevel="0" collapsed="false">
      <c r="A263" s="0" t="s">
        <v>258</v>
      </c>
      <c r="B263" s="0" t="s">
        <v>75</v>
      </c>
      <c r="C263" s="0" t="s">
        <v>39</v>
      </c>
      <c r="E263" s="3" t="n">
        <v>661917</v>
      </c>
    </row>
    <row r="264" customFormat="false" ht="15" hidden="false" customHeight="false" outlineLevel="0" collapsed="false">
      <c r="A264" s="0" t="s">
        <v>259</v>
      </c>
      <c r="B264" s="0" t="s">
        <v>75</v>
      </c>
      <c r="C264" s="0" t="s">
        <v>39</v>
      </c>
      <c r="E264" s="3" t="n">
        <v>26548</v>
      </c>
    </row>
    <row r="265" customFormat="false" ht="15" hidden="false" customHeight="false" outlineLevel="0" collapsed="false">
      <c r="A265" s="0" t="s">
        <v>259</v>
      </c>
      <c r="B265" s="0" t="s">
        <v>76</v>
      </c>
      <c r="C265" s="0" t="s">
        <v>27</v>
      </c>
      <c r="D265" s="3" t="n">
        <v>758413</v>
      </c>
    </row>
    <row r="266" customFormat="false" ht="15" hidden="false" customHeight="false" outlineLevel="0" collapsed="false">
      <c r="A266" s="0" t="s">
        <v>260</v>
      </c>
      <c r="B266" s="0" t="s">
        <v>221</v>
      </c>
      <c r="C266" s="0" t="s">
        <v>32</v>
      </c>
      <c r="E266" s="3" t="n">
        <v>5000</v>
      </c>
    </row>
    <row r="267" customFormat="false" ht="15" hidden="false" customHeight="false" outlineLevel="0" collapsed="false">
      <c r="A267" s="0" t="s">
        <v>260</v>
      </c>
      <c r="B267" s="0" t="s">
        <v>96</v>
      </c>
      <c r="C267" s="0" t="s">
        <v>37</v>
      </c>
      <c r="D267" s="3" t="n">
        <v>38865</v>
      </c>
    </row>
    <row r="268" customFormat="false" ht="15" hidden="false" customHeight="false" outlineLevel="0" collapsed="false">
      <c r="A268" s="0" t="s">
        <v>261</v>
      </c>
      <c r="B268" s="0" t="s">
        <v>218</v>
      </c>
      <c r="C268" s="0" t="s">
        <v>39</v>
      </c>
      <c r="E268" s="3" t="n">
        <v>702417</v>
      </c>
    </row>
    <row r="269" customFormat="false" ht="15" hidden="false" customHeight="false" outlineLevel="0" collapsed="false">
      <c r="A269" s="0" t="s">
        <v>262</v>
      </c>
      <c r="B269" s="0" t="s">
        <v>75</v>
      </c>
      <c r="C269" s="0" t="s">
        <v>39</v>
      </c>
      <c r="E269" s="3" t="n">
        <v>653841</v>
      </c>
    </row>
    <row r="270" customFormat="false" ht="15" hidden="false" customHeight="false" outlineLevel="0" collapsed="false">
      <c r="A270" s="0" t="s">
        <v>263</v>
      </c>
      <c r="B270" s="0" t="s">
        <v>75</v>
      </c>
      <c r="C270" s="0" t="s">
        <v>39</v>
      </c>
      <c r="E270" s="3" t="n">
        <v>216524</v>
      </c>
    </row>
    <row r="271" customFormat="false" ht="15" hidden="false" customHeight="false" outlineLevel="0" collapsed="false">
      <c r="A271" s="0" t="s">
        <v>263</v>
      </c>
      <c r="B271" s="0" t="s">
        <v>80</v>
      </c>
      <c r="C271" s="0" t="s">
        <v>31</v>
      </c>
      <c r="D271" s="3" t="n">
        <v>549100</v>
      </c>
    </row>
    <row r="272" customFormat="false" ht="15" hidden="false" customHeight="false" outlineLevel="0" collapsed="false">
      <c r="A272" s="0" t="s">
        <v>263</v>
      </c>
      <c r="B272" s="0" t="s">
        <v>168</v>
      </c>
      <c r="C272" s="0" t="s">
        <v>32</v>
      </c>
      <c r="D272" s="3" t="n">
        <v>90855</v>
      </c>
    </row>
    <row r="273" customFormat="false" ht="15" hidden="false" customHeight="false" outlineLevel="0" collapsed="false">
      <c r="A273" s="0" t="s">
        <v>263</v>
      </c>
      <c r="B273" s="0" t="s">
        <v>98</v>
      </c>
      <c r="C273" s="0" t="s">
        <v>32</v>
      </c>
      <c r="D273" s="3" t="n">
        <v>617450</v>
      </c>
    </row>
    <row r="274" customFormat="false" ht="15" hidden="false" customHeight="false" outlineLevel="0" collapsed="false">
      <c r="A274" s="0" t="s">
        <v>263</v>
      </c>
      <c r="B274" s="0" t="s">
        <v>90</v>
      </c>
      <c r="C274" s="0" t="s">
        <v>35</v>
      </c>
      <c r="D274" s="3" t="n">
        <v>164645</v>
      </c>
    </row>
    <row r="275" customFormat="false" ht="15" hidden="false" customHeight="false" outlineLevel="0" collapsed="false">
      <c r="A275" s="0" t="s">
        <v>263</v>
      </c>
      <c r="B275" s="0" t="s">
        <v>247</v>
      </c>
      <c r="C275" s="0" t="s">
        <v>32</v>
      </c>
      <c r="D275" s="3" t="n">
        <v>54381</v>
      </c>
    </row>
    <row r="276" customFormat="false" ht="15" hidden="false" customHeight="false" outlineLevel="0" collapsed="false">
      <c r="A276" s="0" t="s">
        <v>264</v>
      </c>
      <c r="B276" s="0" t="s">
        <v>75</v>
      </c>
      <c r="C276" s="0" t="s">
        <v>39</v>
      </c>
      <c r="E276" s="3" t="n">
        <v>211902</v>
      </c>
    </row>
    <row r="277" customFormat="false" ht="15" hidden="false" customHeight="false" outlineLevel="0" collapsed="false">
      <c r="A277" s="0" t="s">
        <v>264</v>
      </c>
      <c r="B277" s="0" t="s">
        <v>85</v>
      </c>
      <c r="C277" s="0" t="s">
        <v>34</v>
      </c>
      <c r="D277" s="3" t="n">
        <v>90930</v>
      </c>
    </row>
    <row r="278" customFormat="false" ht="15" hidden="false" customHeight="false" outlineLevel="0" collapsed="false">
      <c r="A278" s="0" t="s">
        <v>264</v>
      </c>
      <c r="B278" s="0" t="s">
        <v>221</v>
      </c>
      <c r="C278" s="0" t="s">
        <v>32</v>
      </c>
      <c r="E278" s="3" t="n">
        <v>28060</v>
      </c>
    </row>
    <row r="279" customFormat="false" ht="15" hidden="false" customHeight="false" outlineLevel="0" collapsed="false">
      <c r="A279" s="0" t="s">
        <v>265</v>
      </c>
      <c r="B279" s="0" t="s">
        <v>75</v>
      </c>
      <c r="C279" s="0" t="s">
        <v>39</v>
      </c>
      <c r="E279" s="3" t="n">
        <v>126141</v>
      </c>
    </row>
    <row r="280" customFormat="false" ht="15" hidden="false" customHeight="false" outlineLevel="0" collapsed="false">
      <c r="A280" s="0" t="s">
        <v>265</v>
      </c>
      <c r="B280" s="0" t="s">
        <v>266</v>
      </c>
      <c r="C280" s="0" t="s">
        <v>32</v>
      </c>
      <c r="D280" s="3" t="n">
        <v>110261</v>
      </c>
    </row>
    <row r="281" customFormat="false" ht="15" hidden="false" customHeight="false" outlineLevel="0" collapsed="false">
      <c r="A281" s="0" t="s">
        <v>267</v>
      </c>
      <c r="B281" s="0" t="s">
        <v>75</v>
      </c>
      <c r="C281" s="0" t="s">
        <v>39</v>
      </c>
      <c r="E281" s="3" t="n">
        <v>478578</v>
      </c>
    </row>
    <row r="282" customFormat="false" ht="15" hidden="false" customHeight="false" outlineLevel="0" collapsed="false">
      <c r="A282" s="0" t="s">
        <v>268</v>
      </c>
      <c r="B282" s="0" t="s">
        <v>75</v>
      </c>
      <c r="C282" s="0" t="s">
        <v>39</v>
      </c>
      <c r="E282" s="3" t="n">
        <v>1130717</v>
      </c>
    </row>
    <row r="283" customFormat="false" ht="15" hidden="false" customHeight="false" outlineLevel="0" collapsed="false">
      <c r="A283" s="0" t="s">
        <v>269</v>
      </c>
      <c r="B283" s="0" t="s">
        <v>75</v>
      </c>
      <c r="C283" s="0" t="s">
        <v>39</v>
      </c>
      <c r="E283" s="3" t="n">
        <v>149958</v>
      </c>
    </row>
    <row r="284" customFormat="false" ht="15" hidden="false" customHeight="false" outlineLevel="0" collapsed="false">
      <c r="A284" s="0" t="s">
        <v>270</v>
      </c>
      <c r="B284" s="0" t="s">
        <v>75</v>
      </c>
      <c r="C284" s="0" t="s">
        <v>39</v>
      </c>
      <c r="E284" s="3" t="n">
        <v>326887</v>
      </c>
    </row>
    <row r="285" customFormat="false" ht="15" hidden="false" customHeight="false" outlineLevel="0" collapsed="false">
      <c r="A285" s="0" t="s">
        <v>271</v>
      </c>
      <c r="B285" s="0" t="s">
        <v>75</v>
      </c>
      <c r="C285" s="0" t="s">
        <v>39</v>
      </c>
      <c r="E285" s="3" t="n">
        <v>618437</v>
      </c>
    </row>
    <row r="286" customFormat="false" ht="15" hidden="false" customHeight="false" outlineLevel="0" collapsed="false">
      <c r="A286" s="0" t="s">
        <v>272</v>
      </c>
      <c r="B286" s="0" t="s">
        <v>75</v>
      </c>
      <c r="C286" s="0" t="s">
        <v>39</v>
      </c>
      <c r="E286" s="3" t="n">
        <v>873626</v>
      </c>
    </row>
    <row r="287" customFormat="false" ht="15" hidden="false" customHeight="false" outlineLevel="0" collapsed="false">
      <c r="A287" s="0" t="s">
        <v>273</v>
      </c>
      <c r="B287" s="0" t="s">
        <v>85</v>
      </c>
      <c r="C287" s="0" t="s">
        <v>34</v>
      </c>
      <c r="D287" s="3" t="n">
        <v>710648</v>
      </c>
    </row>
    <row r="288" customFormat="false" ht="15" hidden="false" customHeight="false" outlineLevel="0" collapsed="false">
      <c r="A288" s="0" t="s">
        <v>273</v>
      </c>
      <c r="B288" s="0" t="s">
        <v>75</v>
      </c>
      <c r="C288" s="0" t="s">
        <v>39</v>
      </c>
      <c r="E288" s="3" t="n">
        <v>47046</v>
      </c>
    </row>
    <row r="289" customFormat="false" ht="15" hidden="false" customHeight="false" outlineLevel="0" collapsed="false">
      <c r="A289" s="0" t="s">
        <v>273</v>
      </c>
      <c r="B289" s="0" t="s">
        <v>105</v>
      </c>
      <c r="C289" s="0" t="s">
        <v>36</v>
      </c>
      <c r="D289" s="3" t="n">
        <v>1010741</v>
      </c>
    </row>
    <row r="290" customFormat="false" ht="15" hidden="false" customHeight="false" outlineLevel="0" collapsed="false">
      <c r="A290" s="0" t="s">
        <v>273</v>
      </c>
      <c r="B290" s="0" t="s">
        <v>107</v>
      </c>
      <c r="C290" s="0" t="s">
        <v>30</v>
      </c>
      <c r="D290" s="3" t="n">
        <v>500595</v>
      </c>
    </row>
    <row r="291" customFormat="false" ht="15" hidden="false" customHeight="false" outlineLevel="0" collapsed="false">
      <c r="A291" s="0" t="s">
        <v>273</v>
      </c>
      <c r="B291" s="0" t="s">
        <v>103</v>
      </c>
      <c r="C291" s="0" t="s">
        <v>28</v>
      </c>
      <c r="D291" s="3" t="n">
        <v>989457</v>
      </c>
    </row>
    <row r="292" customFormat="false" ht="15" hidden="false" customHeight="false" outlineLevel="0" collapsed="false">
      <c r="A292" s="0" t="s">
        <v>273</v>
      </c>
      <c r="B292" s="0" t="s">
        <v>82</v>
      </c>
      <c r="C292" s="0" t="s">
        <v>33</v>
      </c>
      <c r="D292" s="3" t="n">
        <v>623050</v>
      </c>
    </row>
    <row r="293" customFormat="false" ht="15" hidden="false" customHeight="false" outlineLevel="0" collapsed="false">
      <c r="A293" s="0" t="s">
        <v>273</v>
      </c>
      <c r="B293" s="0" t="s">
        <v>76</v>
      </c>
      <c r="C293" s="0" t="s">
        <v>27</v>
      </c>
      <c r="D293" s="3" t="n">
        <v>1381250</v>
      </c>
    </row>
    <row r="294" customFormat="false" ht="15" hidden="false" customHeight="false" outlineLevel="0" collapsed="false">
      <c r="A294" s="0" t="s">
        <v>274</v>
      </c>
      <c r="B294" s="0" t="s">
        <v>75</v>
      </c>
      <c r="C294" s="0" t="s">
        <v>39</v>
      </c>
      <c r="E294" s="3" t="n">
        <v>273260</v>
      </c>
    </row>
    <row r="295" customFormat="false" ht="15" hidden="false" customHeight="false" outlineLevel="0" collapsed="false">
      <c r="A295" s="0" t="s">
        <v>275</v>
      </c>
      <c r="B295" s="0" t="s">
        <v>75</v>
      </c>
      <c r="C295" s="0" t="s">
        <v>39</v>
      </c>
      <c r="E295" s="3" t="n">
        <v>762580</v>
      </c>
    </row>
    <row r="296" customFormat="false" ht="15" hidden="false" customHeight="false" outlineLevel="0" collapsed="false">
      <c r="A296" s="0" t="s">
        <v>275</v>
      </c>
      <c r="B296" s="0" t="s">
        <v>118</v>
      </c>
      <c r="C296" s="0" t="s">
        <v>32</v>
      </c>
      <c r="D296" s="3" t="n">
        <v>229770</v>
      </c>
    </row>
    <row r="297" customFormat="false" ht="15" hidden="false" customHeight="false" outlineLevel="0" collapsed="false">
      <c r="A297" s="0" t="s">
        <v>276</v>
      </c>
      <c r="B297" s="0" t="s">
        <v>75</v>
      </c>
      <c r="C297" s="0" t="s">
        <v>39</v>
      </c>
      <c r="E297" s="3" t="n">
        <v>957831</v>
      </c>
    </row>
    <row r="298" customFormat="false" ht="15" hidden="false" customHeight="false" outlineLevel="0" collapsed="false">
      <c r="A298" s="0" t="s">
        <v>277</v>
      </c>
      <c r="B298" s="0" t="s">
        <v>116</v>
      </c>
      <c r="C298" s="0" t="s">
        <v>29</v>
      </c>
      <c r="D298" s="3" t="n">
        <v>274219</v>
      </c>
    </row>
    <row r="299" customFormat="false" ht="15" hidden="false" customHeight="false" outlineLevel="0" collapsed="false">
      <c r="A299" s="0" t="s">
        <v>277</v>
      </c>
      <c r="B299" s="0" t="s">
        <v>116</v>
      </c>
      <c r="C299" s="0" t="s">
        <v>29</v>
      </c>
      <c r="D299" s="3" t="n">
        <v>748711</v>
      </c>
    </row>
    <row r="300" customFormat="false" ht="15" hidden="false" customHeight="false" outlineLevel="0" collapsed="false">
      <c r="A300" s="0" t="s">
        <v>277</v>
      </c>
      <c r="B300" s="0" t="s">
        <v>75</v>
      </c>
      <c r="C300" s="0" t="s">
        <v>39</v>
      </c>
      <c r="E300" s="3" t="n">
        <v>348195</v>
      </c>
    </row>
    <row r="301" customFormat="false" ht="15" hidden="false" customHeight="false" outlineLevel="0" collapsed="false">
      <c r="A301" s="0" t="s">
        <v>278</v>
      </c>
      <c r="B301" s="0" t="s">
        <v>75</v>
      </c>
      <c r="C301" s="0" t="s">
        <v>39</v>
      </c>
      <c r="E301" s="3" t="n">
        <v>136742</v>
      </c>
    </row>
    <row r="302" customFormat="false" ht="15" hidden="false" customHeight="false" outlineLevel="0" collapsed="false">
      <c r="A302" s="0" t="s">
        <v>279</v>
      </c>
      <c r="B302" s="0" t="s">
        <v>75</v>
      </c>
      <c r="C302" s="0" t="s">
        <v>39</v>
      </c>
      <c r="E302" s="3" t="n">
        <v>559896</v>
      </c>
    </row>
    <row r="303" customFormat="false" ht="15" hidden="false" customHeight="false" outlineLevel="0" collapsed="false">
      <c r="A303" s="0" t="s">
        <v>280</v>
      </c>
      <c r="B303" s="0" t="s">
        <v>75</v>
      </c>
      <c r="C303" s="0" t="s">
        <v>39</v>
      </c>
      <c r="E303" s="3" t="n">
        <v>220134</v>
      </c>
    </row>
    <row r="304" customFormat="false" ht="15" hidden="false" customHeight="false" outlineLevel="0" collapsed="false">
      <c r="A304" s="0" t="s">
        <v>281</v>
      </c>
      <c r="B304" s="0" t="s">
        <v>75</v>
      </c>
      <c r="C304" s="0" t="s">
        <v>39</v>
      </c>
      <c r="E304" s="3" t="n">
        <v>384020</v>
      </c>
    </row>
    <row r="305" customFormat="false" ht="15" hidden="false" customHeight="false" outlineLevel="0" collapsed="false">
      <c r="A305" s="0" t="s">
        <v>282</v>
      </c>
      <c r="B305" s="0" t="s">
        <v>75</v>
      </c>
      <c r="C305" s="0" t="s">
        <v>39</v>
      </c>
      <c r="E305" s="3" t="n">
        <v>173285</v>
      </c>
    </row>
    <row r="306" customFormat="false" ht="15" hidden="false" customHeight="false" outlineLevel="0" collapsed="false">
      <c r="A306" s="0" t="s">
        <v>283</v>
      </c>
      <c r="B306" s="0" t="s">
        <v>75</v>
      </c>
      <c r="C306" s="0" t="s">
        <v>39</v>
      </c>
      <c r="E306" s="3" t="n">
        <v>258345</v>
      </c>
    </row>
    <row r="307" customFormat="false" ht="15" hidden="false" customHeight="false" outlineLevel="0" collapsed="false">
      <c r="A307" s="0" t="s">
        <v>283</v>
      </c>
      <c r="B307" s="0" t="s">
        <v>105</v>
      </c>
      <c r="C307" s="0" t="s">
        <v>36</v>
      </c>
      <c r="D307" s="3" t="n">
        <v>101000</v>
      </c>
    </row>
    <row r="308" customFormat="false" ht="15" hidden="false" customHeight="false" outlineLevel="0" collapsed="false">
      <c r="A308" s="0" t="s">
        <v>284</v>
      </c>
      <c r="B308" s="0" t="s">
        <v>75</v>
      </c>
      <c r="C308" s="0" t="s">
        <v>39</v>
      </c>
      <c r="E308" s="3" t="n">
        <v>233476</v>
      </c>
    </row>
    <row r="309" customFormat="false" ht="15" hidden="false" customHeight="false" outlineLevel="0" collapsed="false">
      <c r="A309" s="0" t="s">
        <v>285</v>
      </c>
      <c r="B309" s="0" t="s">
        <v>75</v>
      </c>
      <c r="C309" s="0" t="s">
        <v>39</v>
      </c>
      <c r="E309" s="3" t="n">
        <v>285146</v>
      </c>
    </row>
    <row r="310" customFormat="false" ht="15" hidden="false" customHeight="false" outlineLevel="0" collapsed="false">
      <c r="A310" s="0" t="s">
        <v>285</v>
      </c>
      <c r="B310" s="0" t="s">
        <v>196</v>
      </c>
      <c r="C310" s="0" t="s">
        <v>32</v>
      </c>
      <c r="D310" s="3" t="n">
        <v>13075</v>
      </c>
    </row>
    <row r="311" customFormat="false" ht="15" hidden="false" customHeight="false" outlineLevel="0" collapsed="false">
      <c r="A311" s="0" t="s">
        <v>285</v>
      </c>
      <c r="B311" s="0" t="s">
        <v>168</v>
      </c>
      <c r="C311" s="0" t="s">
        <v>32</v>
      </c>
      <c r="D311" s="3" t="n">
        <v>149776</v>
      </c>
    </row>
    <row r="312" customFormat="false" ht="15" hidden="false" customHeight="false" outlineLevel="0" collapsed="false">
      <c r="A312" s="0" t="s">
        <v>285</v>
      </c>
      <c r="B312" s="0" t="s">
        <v>98</v>
      </c>
      <c r="C312" s="0" t="s">
        <v>32</v>
      </c>
      <c r="D312" s="3" t="n">
        <v>648931</v>
      </c>
    </row>
    <row r="313" customFormat="false" ht="15" hidden="false" customHeight="false" outlineLevel="0" collapsed="false">
      <c r="A313" s="0" t="s">
        <v>285</v>
      </c>
      <c r="B313" s="0" t="s">
        <v>286</v>
      </c>
      <c r="C313" s="0" t="s">
        <v>32</v>
      </c>
      <c r="D313" s="3" t="n">
        <v>27080</v>
      </c>
    </row>
    <row r="314" customFormat="false" ht="15" hidden="false" customHeight="false" outlineLevel="0" collapsed="false">
      <c r="A314" s="0" t="s">
        <v>285</v>
      </c>
      <c r="B314" s="0" t="s">
        <v>96</v>
      </c>
      <c r="C314" s="0" t="s">
        <v>37</v>
      </c>
      <c r="D314" s="3" t="n">
        <v>38306</v>
      </c>
    </row>
    <row r="315" customFormat="false" ht="15" hidden="false" customHeight="false" outlineLevel="0" collapsed="false">
      <c r="A315" s="0" t="s">
        <v>285</v>
      </c>
      <c r="B315" s="0" t="s">
        <v>266</v>
      </c>
      <c r="C315" s="0" t="s">
        <v>32</v>
      </c>
      <c r="D315" s="3" t="n">
        <v>13685</v>
      </c>
    </row>
    <row r="316" customFormat="false" ht="15" hidden="false" customHeight="false" outlineLevel="0" collapsed="false">
      <c r="A316" s="0" t="s">
        <v>287</v>
      </c>
      <c r="B316" s="0" t="s">
        <v>75</v>
      </c>
      <c r="C316" s="0" t="s">
        <v>39</v>
      </c>
      <c r="E316" s="3" t="n">
        <v>1034930</v>
      </c>
    </row>
    <row r="317" customFormat="false" ht="15" hidden="false" customHeight="false" outlineLevel="0" collapsed="false">
      <c r="A317" s="0" t="s">
        <v>288</v>
      </c>
      <c r="B317" s="0" t="s">
        <v>75</v>
      </c>
      <c r="C317" s="0" t="s">
        <v>39</v>
      </c>
      <c r="E317" s="3" t="n">
        <v>664339</v>
      </c>
    </row>
    <row r="318" customFormat="false" ht="15" hidden="false" customHeight="false" outlineLevel="0" collapsed="false">
      <c r="A318" s="0" t="s">
        <v>289</v>
      </c>
      <c r="B318" s="0" t="s">
        <v>75</v>
      </c>
      <c r="C318" s="0" t="s">
        <v>39</v>
      </c>
      <c r="E318" s="3" t="n">
        <v>293575</v>
      </c>
    </row>
    <row r="319" customFormat="false" ht="15" hidden="false" customHeight="false" outlineLevel="0" collapsed="false">
      <c r="A319" s="0" t="s">
        <v>290</v>
      </c>
      <c r="B319" s="0" t="s">
        <v>75</v>
      </c>
      <c r="C319" s="0" t="s">
        <v>39</v>
      </c>
      <c r="E319" s="3" t="n">
        <v>230680</v>
      </c>
    </row>
    <row r="320" customFormat="false" ht="15" hidden="false" customHeight="false" outlineLevel="0" collapsed="false">
      <c r="A320" s="0" t="s">
        <v>290</v>
      </c>
      <c r="B320" s="0" t="s">
        <v>90</v>
      </c>
      <c r="C320" s="0" t="s">
        <v>35</v>
      </c>
      <c r="D320" s="3" t="n">
        <v>661555</v>
      </c>
    </row>
    <row r="321" customFormat="false" ht="15" hidden="false" customHeight="false" outlineLevel="0" collapsed="false">
      <c r="A321" s="0" t="s">
        <v>290</v>
      </c>
      <c r="B321" s="0" t="s">
        <v>80</v>
      </c>
      <c r="C321" s="0" t="s">
        <v>31</v>
      </c>
      <c r="D321" s="3" t="n">
        <v>789608</v>
      </c>
      <c r="F321" s="13" t="s">
        <v>291</v>
      </c>
    </row>
    <row r="322" customFormat="false" ht="15" hidden="false" customHeight="false" outlineLevel="0" collapsed="false">
      <c r="A322" s="0" t="s">
        <v>290</v>
      </c>
      <c r="B322" s="0" t="s">
        <v>103</v>
      </c>
      <c r="C322" s="0" t="s">
        <v>28</v>
      </c>
      <c r="D322" s="3" t="n">
        <v>1299460</v>
      </c>
    </row>
    <row r="323" customFormat="false" ht="15" hidden="false" customHeight="false" outlineLevel="0" collapsed="false">
      <c r="A323" s="0" t="s">
        <v>290</v>
      </c>
      <c r="B323" s="0" t="s">
        <v>105</v>
      </c>
      <c r="C323" s="0" t="s">
        <v>36</v>
      </c>
      <c r="D323" s="3" t="n">
        <v>418762</v>
      </c>
    </row>
    <row r="324" customFormat="false" ht="15" hidden="false" customHeight="false" outlineLevel="0" collapsed="false">
      <c r="A324" s="0" t="s">
        <v>290</v>
      </c>
      <c r="B324" s="0" t="s">
        <v>107</v>
      </c>
      <c r="C324" s="0" t="s">
        <v>30</v>
      </c>
      <c r="D324" s="3" t="n">
        <v>1254278</v>
      </c>
    </row>
    <row r="325" customFormat="false" ht="15" hidden="false" customHeight="false" outlineLevel="0" collapsed="false">
      <c r="A325" s="0" t="s">
        <v>292</v>
      </c>
      <c r="B325" s="0" t="s">
        <v>75</v>
      </c>
      <c r="C325" s="0" t="s">
        <v>39</v>
      </c>
      <c r="E325" s="3" t="n">
        <v>459793</v>
      </c>
    </row>
    <row r="326" customFormat="false" ht="15" hidden="false" customHeight="false" outlineLevel="0" collapsed="false">
      <c r="A326" s="0" t="s">
        <v>293</v>
      </c>
      <c r="B326" s="0" t="s">
        <v>75</v>
      </c>
      <c r="C326" s="0" t="s">
        <v>39</v>
      </c>
      <c r="E326" s="3" t="n">
        <v>329036</v>
      </c>
    </row>
    <row r="327" customFormat="false" ht="15" hidden="false" customHeight="false" outlineLevel="0" collapsed="false">
      <c r="A327" s="0" t="s">
        <v>294</v>
      </c>
      <c r="B327" s="0" t="s">
        <v>75</v>
      </c>
      <c r="C327" s="0" t="s">
        <v>39</v>
      </c>
      <c r="E327" s="3" t="n">
        <v>451750</v>
      </c>
    </row>
    <row r="328" customFormat="false" ht="15" hidden="false" customHeight="false" outlineLevel="0" collapsed="false">
      <c r="A328" s="0" t="s">
        <v>295</v>
      </c>
      <c r="B328" s="0" t="s">
        <v>76</v>
      </c>
      <c r="C328" s="0" t="s">
        <v>27</v>
      </c>
      <c r="D328" s="3" t="n">
        <v>1683000</v>
      </c>
    </row>
    <row r="329" customFormat="false" ht="15" hidden="false" customHeight="false" outlineLevel="0" collapsed="false">
      <c r="A329" s="0" t="s">
        <v>295</v>
      </c>
      <c r="B329" s="0" t="s">
        <v>80</v>
      </c>
      <c r="C329" s="0" t="s">
        <v>31</v>
      </c>
      <c r="D329" s="3" t="n">
        <v>789608</v>
      </c>
      <c r="F329" s="13" t="s">
        <v>291</v>
      </c>
    </row>
    <row r="330" customFormat="false" ht="15" hidden="false" customHeight="false" outlineLevel="0" collapsed="false">
      <c r="A330" s="0" t="s">
        <v>295</v>
      </c>
      <c r="B330" s="0" t="s">
        <v>98</v>
      </c>
      <c r="C330" s="0" t="s">
        <v>32</v>
      </c>
      <c r="D330" s="3" t="n">
        <v>50000</v>
      </c>
    </row>
    <row r="331" customFormat="false" ht="15" hidden="false" customHeight="false" outlineLevel="0" collapsed="false">
      <c r="A331" s="0" t="s">
        <v>295</v>
      </c>
      <c r="B331" s="0" t="s">
        <v>82</v>
      </c>
      <c r="C331" s="0" t="s">
        <v>33</v>
      </c>
      <c r="D331" s="3" t="n">
        <v>325550</v>
      </c>
    </row>
    <row r="332" customFormat="false" ht="15" hidden="false" customHeight="false" outlineLevel="0" collapsed="false">
      <c r="A332" s="0" t="s">
        <v>295</v>
      </c>
      <c r="B332" s="0" t="s">
        <v>75</v>
      </c>
      <c r="C332" s="0" t="s">
        <v>39</v>
      </c>
      <c r="E332" s="3" t="n">
        <v>254258</v>
      </c>
    </row>
    <row r="333" customFormat="false" ht="15" hidden="false" customHeight="false" outlineLevel="0" collapsed="false">
      <c r="A333" s="0" t="s">
        <v>296</v>
      </c>
      <c r="B333" s="0" t="s">
        <v>85</v>
      </c>
      <c r="C333" s="0" t="s">
        <v>34</v>
      </c>
      <c r="D333" s="3" t="n">
        <v>724728</v>
      </c>
    </row>
    <row r="334" customFormat="false" ht="15" hidden="false" customHeight="false" outlineLevel="0" collapsed="false">
      <c r="A334" s="0" t="s">
        <v>296</v>
      </c>
      <c r="B334" s="0" t="s">
        <v>75</v>
      </c>
      <c r="C334" s="0" t="s">
        <v>39</v>
      </c>
      <c r="E334" s="3" t="n">
        <v>239667</v>
      </c>
    </row>
    <row r="335" customFormat="false" ht="15" hidden="false" customHeight="false" outlineLevel="0" collapsed="false">
      <c r="A335" s="0" t="s">
        <v>296</v>
      </c>
      <c r="B335" s="0" t="s">
        <v>118</v>
      </c>
      <c r="C335" s="0" t="s">
        <v>34</v>
      </c>
      <c r="D335" s="3" t="n">
        <v>115455</v>
      </c>
    </row>
    <row r="336" customFormat="false" ht="15" hidden="false" customHeight="false" outlineLevel="0" collapsed="false">
      <c r="A336" s="0" t="s">
        <v>297</v>
      </c>
      <c r="B336" s="0" t="s">
        <v>75</v>
      </c>
      <c r="C336" s="0" t="s">
        <v>39</v>
      </c>
      <c r="E336" s="3" t="n">
        <v>929273</v>
      </c>
    </row>
    <row r="337" customFormat="false" ht="15" hidden="false" customHeight="false" outlineLevel="0" collapsed="false">
      <c r="A337" s="0" t="s">
        <v>298</v>
      </c>
      <c r="B337" s="0" t="s">
        <v>75</v>
      </c>
      <c r="C337" s="0" t="s">
        <v>39</v>
      </c>
      <c r="E337" s="3" t="n">
        <v>66915</v>
      </c>
    </row>
    <row r="338" customFormat="false" ht="15" hidden="false" customHeight="false" outlineLevel="0" collapsed="false">
      <c r="A338" s="0" t="s">
        <v>299</v>
      </c>
      <c r="B338" s="0" t="s">
        <v>75</v>
      </c>
      <c r="C338" s="0" t="s">
        <v>39</v>
      </c>
      <c r="E338" s="3" t="n">
        <v>292010</v>
      </c>
    </row>
    <row r="339" customFormat="false" ht="15" hidden="false" customHeight="false" outlineLevel="0" collapsed="false">
      <c r="A339" s="0" t="s">
        <v>300</v>
      </c>
      <c r="B339" s="0" t="s">
        <v>75</v>
      </c>
      <c r="C339" s="0" t="s">
        <v>39</v>
      </c>
      <c r="E339" s="3" t="n">
        <v>551059</v>
      </c>
    </row>
    <row r="340" customFormat="false" ht="15" hidden="false" customHeight="false" outlineLevel="0" collapsed="false">
      <c r="A340" s="0" t="s">
        <v>301</v>
      </c>
      <c r="B340" s="0" t="s">
        <v>75</v>
      </c>
      <c r="C340" s="0" t="s">
        <v>39</v>
      </c>
      <c r="E340" s="3" t="n">
        <v>900789</v>
      </c>
    </row>
    <row r="341" customFormat="false" ht="15" hidden="false" customHeight="false" outlineLevel="0" collapsed="false">
      <c r="A341" s="0" t="s">
        <v>302</v>
      </c>
      <c r="B341" s="0" t="s">
        <v>75</v>
      </c>
      <c r="C341" s="0" t="s">
        <v>39</v>
      </c>
      <c r="E341" s="3" t="n">
        <v>710434</v>
      </c>
    </row>
    <row r="342" customFormat="false" ht="15" hidden="false" customHeight="false" outlineLevel="0" collapsed="false">
      <c r="A342" s="0" t="s">
        <v>303</v>
      </c>
      <c r="B342" s="0" t="s">
        <v>75</v>
      </c>
      <c r="C342" s="0" t="s">
        <v>39</v>
      </c>
      <c r="E342" s="3" t="n">
        <v>186576</v>
      </c>
    </row>
    <row r="343" customFormat="false" ht="15" hidden="false" customHeight="false" outlineLevel="0" collapsed="false">
      <c r="A343" s="0" t="s">
        <v>304</v>
      </c>
      <c r="B343" s="0" t="s">
        <v>75</v>
      </c>
      <c r="C343" s="0" t="s">
        <v>39</v>
      </c>
      <c r="E343" s="3" t="n">
        <v>56091</v>
      </c>
    </row>
    <row r="344" customFormat="false" ht="15" hidden="false" customHeight="false" outlineLevel="0" collapsed="false">
      <c r="A344" s="0" t="s">
        <v>305</v>
      </c>
      <c r="B344" s="0" t="s">
        <v>306</v>
      </c>
      <c r="C344" s="0" t="s">
        <v>32</v>
      </c>
      <c r="D344" s="3" t="n">
        <v>577271</v>
      </c>
    </row>
    <row r="345" customFormat="false" ht="15" hidden="false" customHeight="false" outlineLevel="0" collapsed="false">
      <c r="A345" s="0" t="s">
        <v>305</v>
      </c>
      <c r="B345" s="0" t="s">
        <v>307</v>
      </c>
      <c r="C345" s="0" t="s">
        <v>32</v>
      </c>
      <c r="D345" s="3" t="n">
        <v>105651</v>
      </c>
    </row>
    <row r="346" customFormat="false" ht="15" hidden="false" customHeight="false" outlineLevel="0" collapsed="false">
      <c r="A346" s="0" t="s">
        <v>305</v>
      </c>
      <c r="B346" s="0" t="s">
        <v>308</v>
      </c>
      <c r="C346" s="0" t="s">
        <v>32</v>
      </c>
      <c r="D346" s="3" t="n">
        <v>82645</v>
      </c>
    </row>
    <row r="347" customFormat="false" ht="15" hidden="false" customHeight="false" outlineLevel="0" collapsed="false">
      <c r="A347" s="0" t="s">
        <v>305</v>
      </c>
      <c r="B347" s="0" t="s">
        <v>218</v>
      </c>
      <c r="C347" s="0" t="s">
        <v>39</v>
      </c>
      <c r="E347" s="3" t="n">
        <v>157217</v>
      </c>
    </row>
    <row r="348" customFormat="false" ht="15" hidden="false" customHeight="false" outlineLevel="0" collapsed="false">
      <c r="A348" s="0" t="s">
        <v>305</v>
      </c>
      <c r="B348" s="0" t="s">
        <v>309</v>
      </c>
      <c r="C348" s="0" t="s">
        <v>37</v>
      </c>
      <c r="D348" s="3" t="n">
        <v>37885</v>
      </c>
    </row>
    <row r="349" customFormat="false" ht="15" hidden="false" customHeight="false" outlineLevel="0" collapsed="false">
      <c r="A349" s="0" t="s">
        <v>310</v>
      </c>
      <c r="B349" s="0" t="s">
        <v>75</v>
      </c>
      <c r="C349" s="0" t="s">
        <v>39</v>
      </c>
      <c r="E349" s="3" t="n">
        <v>313209</v>
      </c>
    </row>
    <row r="350" customFormat="false" ht="15" hidden="false" customHeight="false" outlineLevel="0" collapsed="false">
      <c r="A350" s="0" t="s">
        <v>311</v>
      </c>
      <c r="B350" s="0" t="s">
        <v>75</v>
      </c>
      <c r="C350" s="0" t="s">
        <v>39</v>
      </c>
      <c r="E350" s="3" t="n">
        <v>531486</v>
      </c>
    </row>
    <row r="351" customFormat="false" ht="15" hidden="false" customHeight="false" outlineLevel="0" collapsed="false">
      <c r="A351" s="0" t="s">
        <v>312</v>
      </c>
      <c r="B351" s="0" t="s">
        <v>75</v>
      </c>
      <c r="C351" s="0" t="s">
        <v>39</v>
      </c>
      <c r="E351" s="3" t="n">
        <v>53927</v>
      </c>
    </row>
    <row r="352" customFormat="false" ht="15" hidden="false" customHeight="false" outlineLevel="0" collapsed="false">
      <c r="A352" s="0" t="s">
        <v>313</v>
      </c>
      <c r="B352" s="0" t="s">
        <v>75</v>
      </c>
      <c r="C352" s="0" t="s">
        <v>39</v>
      </c>
      <c r="E352" s="3" t="n">
        <v>83448</v>
      </c>
    </row>
    <row r="353" customFormat="false" ht="15" hidden="false" customHeight="false" outlineLevel="0" collapsed="false">
      <c r="A353" s="0" t="s">
        <v>314</v>
      </c>
      <c r="B353" s="0" t="s">
        <v>75</v>
      </c>
      <c r="C353" s="0" t="s">
        <v>39</v>
      </c>
      <c r="E353" s="3" t="n">
        <v>239421</v>
      </c>
    </row>
    <row r="354" customFormat="false" ht="15" hidden="false" customHeight="false" outlineLevel="0" collapsed="false">
      <c r="A354" s="0" t="s">
        <v>314</v>
      </c>
      <c r="B354" s="0" t="s">
        <v>116</v>
      </c>
      <c r="C354" s="0" t="s">
        <v>29</v>
      </c>
      <c r="D354" s="3" t="n">
        <v>275762</v>
      </c>
    </row>
    <row r="355" customFormat="false" ht="15" hidden="false" customHeight="false" outlineLevel="0" collapsed="false">
      <c r="A355" s="0" t="s">
        <v>314</v>
      </c>
      <c r="B355" s="0" t="s">
        <v>116</v>
      </c>
      <c r="C355" s="0" t="s">
        <v>29</v>
      </c>
      <c r="D355" s="3" t="n">
        <v>865130</v>
      </c>
    </row>
    <row r="356" customFormat="false" ht="15" hidden="false" customHeight="false" outlineLevel="0" collapsed="false">
      <c r="A356" s="0" t="s">
        <v>314</v>
      </c>
      <c r="B356" s="0" t="s">
        <v>80</v>
      </c>
      <c r="C356" s="0" t="s">
        <v>31</v>
      </c>
      <c r="D356" s="3" t="n">
        <v>772605</v>
      </c>
      <c r="F356" s="13" t="s">
        <v>315</v>
      </c>
    </row>
    <row r="357" customFormat="false" ht="15" hidden="false" customHeight="false" outlineLevel="0" collapsed="false">
      <c r="A357" s="0" t="s">
        <v>314</v>
      </c>
      <c r="B357" s="0" t="s">
        <v>90</v>
      </c>
      <c r="C357" s="0" t="s">
        <v>35</v>
      </c>
      <c r="D357" s="3" t="n">
        <v>422705</v>
      </c>
    </row>
    <row r="358" customFormat="false" ht="15" hidden="false" customHeight="false" outlineLevel="0" collapsed="false">
      <c r="A358" s="0" t="s">
        <v>314</v>
      </c>
      <c r="B358" s="0" t="s">
        <v>107</v>
      </c>
      <c r="C358" s="0" t="s">
        <v>30</v>
      </c>
      <c r="D358" s="3" t="n">
        <v>835746</v>
      </c>
      <c r="F358" s="13" t="s">
        <v>316</v>
      </c>
    </row>
    <row r="359" customFormat="false" ht="15" hidden="false" customHeight="false" outlineLevel="0" collapsed="false">
      <c r="A359" s="0" t="s">
        <v>314</v>
      </c>
      <c r="B359" s="0" t="s">
        <v>103</v>
      </c>
      <c r="C359" s="0" t="s">
        <v>28</v>
      </c>
      <c r="D359" s="3" t="n">
        <v>916148</v>
      </c>
    </row>
    <row r="360" customFormat="false" ht="15" hidden="false" customHeight="false" outlineLevel="0" collapsed="false">
      <c r="A360" s="0" t="s">
        <v>314</v>
      </c>
      <c r="B360" s="0" t="s">
        <v>105</v>
      </c>
      <c r="C360" s="0" t="s">
        <v>36</v>
      </c>
      <c r="D360" s="3" t="n">
        <v>265479</v>
      </c>
    </row>
    <row r="361" customFormat="false" ht="15" hidden="false" customHeight="false" outlineLevel="0" collapsed="false">
      <c r="A361" s="0" t="s">
        <v>317</v>
      </c>
      <c r="B361" s="0" t="s">
        <v>75</v>
      </c>
      <c r="C361" s="0" t="s">
        <v>39</v>
      </c>
      <c r="E361" s="3" t="n">
        <v>358462</v>
      </c>
    </row>
    <row r="362" customFormat="false" ht="15" hidden="false" customHeight="false" outlineLevel="0" collapsed="false">
      <c r="A362" s="0" t="s">
        <v>318</v>
      </c>
      <c r="B362" s="0" t="s">
        <v>75</v>
      </c>
      <c r="C362" s="0" t="s">
        <v>39</v>
      </c>
      <c r="E362" s="3" t="n">
        <v>663529</v>
      </c>
    </row>
    <row r="363" customFormat="false" ht="15" hidden="false" customHeight="false" outlineLevel="0" collapsed="false">
      <c r="A363" s="0" t="s">
        <v>319</v>
      </c>
      <c r="B363" s="0" t="s">
        <v>75</v>
      </c>
      <c r="C363" s="0" t="s">
        <v>39</v>
      </c>
      <c r="E363" s="3" t="n">
        <v>233324</v>
      </c>
    </row>
    <row r="364" customFormat="false" ht="15" hidden="false" customHeight="false" outlineLevel="0" collapsed="false">
      <c r="A364" s="0" t="s">
        <v>320</v>
      </c>
      <c r="B364" s="0" t="s">
        <v>75</v>
      </c>
      <c r="C364" s="0" t="s">
        <v>39</v>
      </c>
      <c r="E364" s="3" t="n">
        <v>88171</v>
      </c>
    </row>
    <row r="365" customFormat="false" ht="15" hidden="false" customHeight="false" outlineLevel="0" collapsed="false">
      <c r="A365" s="0" t="s">
        <v>321</v>
      </c>
      <c r="B365" s="0" t="s">
        <v>98</v>
      </c>
      <c r="C365" s="0" t="s">
        <v>32</v>
      </c>
      <c r="D365" s="3" t="n">
        <v>10770</v>
      </c>
    </row>
    <row r="366" customFormat="false" ht="15" hidden="false" customHeight="false" outlineLevel="0" collapsed="false">
      <c r="A366" s="0" t="s">
        <v>321</v>
      </c>
      <c r="B366" s="0" t="s">
        <v>76</v>
      </c>
      <c r="C366" s="0" t="s">
        <v>27</v>
      </c>
      <c r="D366" s="3" t="n">
        <v>1286900</v>
      </c>
    </row>
    <row r="367" customFormat="false" ht="15" hidden="false" customHeight="false" outlineLevel="0" collapsed="false">
      <c r="A367" s="0" t="s">
        <v>321</v>
      </c>
      <c r="B367" s="0" t="s">
        <v>85</v>
      </c>
      <c r="C367" s="0" t="s">
        <v>34</v>
      </c>
      <c r="D367" s="3" t="n">
        <v>306383</v>
      </c>
    </row>
    <row r="368" customFormat="false" ht="15" hidden="false" customHeight="false" outlineLevel="0" collapsed="false">
      <c r="A368" s="0" t="s">
        <v>321</v>
      </c>
      <c r="B368" s="0" t="s">
        <v>105</v>
      </c>
      <c r="C368" s="0" t="s">
        <v>36</v>
      </c>
      <c r="D368" s="3" t="n">
        <v>22831</v>
      </c>
    </row>
    <row r="369" customFormat="false" ht="15" hidden="false" customHeight="false" outlineLevel="0" collapsed="false">
      <c r="A369" s="0" t="s">
        <v>321</v>
      </c>
      <c r="B369" s="0" t="s">
        <v>116</v>
      </c>
      <c r="C369" s="0" t="s">
        <v>29</v>
      </c>
      <c r="D369" s="3" t="n">
        <v>757971</v>
      </c>
    </row>
    <row r="370" customFormat="false" ht="15" hidden="false" customHeight="false" outlineLevel="0" collapsed="false">
      <c r="A370" s="0" t="s">
        <v>321</v>
      </c>
      <c r="B370" s="0" t="s">
        <v>75</v>
      </c>
      <c r="C370" s="0" t="s">
        <v>39</v>
      </c>
      <c r="E370" s="3" t="n">
        <v>574689</v>
      </c>
    </row>
    <row r="371" customFormat="false" ht="15" hidden="false" customHeight="false" outlineLevel="0" collapsed="false">
      <c r="A371" s="0" t="s">
        <v>321</v>
      </c>
      <c r="B371" s="0" t="s">
        <v>82</v>
      </c>
      <c r="C371" s="0" t="s">
        <v>33</v>
      </c>
      <c r="D371" s="3" t="n">
        <v>916300</v>
      </c>
    </row>
    <row r="372" customFormat="false" ht="15" hidden="false" customHeight="false" outlineLevel="0" collapsed="false">
      <c r="A372" s="0" t="s">
        <v>321</v>
      </c>
      <c r="B372" s="0" t="s">
        <v>116</v>
      </c>
      <c r="C372" s="0" t="s">
        <v>29</v>
      </c>
      <c r="D372" s="3" t="n">
        <v>276401</v>
      </c>
    </row>
    <row r="373" customFormat="false" ht="15" hidden="false" customHeight="false" outlineLevel="0" collapsed="false">
      <c r="A373" s="0" t="s">
        <v>322</v>
      </c>
      <c r="B373" s="0" t="s">
        <v>75</v>
      </c>
      <c r="C373" s="0" t="s">
        <v>39</v>
      </c>
      <c r="E373" s="3" t="n">
        <v>502654</v>
      </c>
    </row>
    <row r="374" customFormat="false" ht="15" hidden="false" customHeight="false" outlineLevel="0" collapsed="false">
      <c r="A374" s="0" t="s">
        <v>323</v>
      </c>
      <c r="B374" s="0" t="s">
        <v>118</v>
      </c>
      <c r="C374" s="0" t="s">
        <v>34</v>
      </c>
      <c r="D374" s="3" t="n">
        <v>115559</v>
      </c>
    </row>
    <row r="375" customFormat="false" ht="15" hidden="false" customHeight="false" outlineLevel="0" collapsed="false">
      <c r="A375" s="0" t="s">
        <v>323</v>
      </c>
      <c r="B375" s="0" t="s">
        <v>75</v>
      </c>
      <c r="C375" s="0" t="s">
        <v>39</v>
      </c>
      <c r="E375" s="3" t="n">
        <v>715024</v>
      </c>
    </row>
    <row r="376" customFormat="false" ht="15" hidden="false" customHeight="false" outlineLevel="0" collapsed="false">
      <c r="A376" s="0" t="s">
        <v>324</v>
      </c>
      <c r="B376" s="0" t="s">
        <v>75</v>
      </c>
      <c r="C376" s="0" t="s">
        <v>39</v>
      </c>
      <c r="E376" s="3" t="n">
        <v>193003</v>
      </c>
    </row>
    <row r="377" customFormat="false" ht="15" hidden="false" customHeight="false" outlineLevel="0" collapsed="false">
      <c r="A377" s="0" t="s">
        <v>325</v>
      </c>
      <c r="B377" s="0" t="s">
        <v>75</v>
      </c>
      <c r="C377" s="0" t="s">
        <v>39</v>
      </c>
      <c r="E377" s="3" t="n">
        <v>78372</v>
      </c>
    </row>
    <row r="378" customFormat="false" ht="15" hidden="false" customHeight="false" outlineLevel="0" collapsed="false">
      <c r="A378" s="0" t="s">
        <v>326</v>
      </c>
      <c r="B378" s="0" t="s">
        <v>75</v>
      </c>
      <c r="C378" s="0" t="s">
        <v>39</v>
      </c>
      <c r="E378" s="3" t="n">
        <v>445376</v>
      </c>
    </row>
    <row r="379" customFormat="false" ht="15" hidden="false" customHeight="false" outlineLevel="0" collapsed="false">
      <c r="A379" s="0" t="s">
        <v>327</v>
      </c>
      <c r="B379" s="0" t="s">
        <v>75</v>
      </c>
      <c r="C379" s="0" t="s">
        <v>39</v>
      </c>
      <c r="E379" s="3" t="n">
        <v>446497</v>
      </c>
    </row>
    <row r="380" customFormat="false" ht="15" hidden="false" customHeight="false" outlineLevel="0" collapsed="false">
      <c r="A380" s="0" t="s">
        <v>328</v>
      </c>
      <c r="B380" s="0" t="s">
        <v>75</v>
      </c>
      <c r="C380" s="0" t="s">
        <v>39</v>
      </c>
      <c r="E380" s="3" t="n">
        <v>330364</v>
      </c>
    </row>
    <row r="381" customFormat="false" ht="15" hidden="false" customHeight="false" outlineLevel="0" collapsed="false">
      <c r="A381" s="0" t="s">
        <v>329</v>
      </c>
      <c r="B381" s="0" t="s">
        <v>75</v>
      </c>
      <c r="C381" s="0" t="s">
        <v>39</v>
      </c>
      <c r="E381" s="3" t="n">
        <v>107028</v>
      </c>
    </row>
    <row r="382" customFormat="false" ht="15" hidden="false" customHeight="false" outlineLevel="0" collapsed="false">
      <c r="A382" s="0" t="s">
        <v>330</v>
      </c>
      <c r="B382" s="0" t="s">
        <v>75</v>
      </c>
      <c r="C382" s="0" t="s">
        <v>39</v>
      </c>
      <c r="E382" s="3" t="n">
        <v>322185</v>
      </c>
    </row>
    <row r="383" customFormat="false" ht="15" hidden="false" customHeight="false" outlineLevel="0" collapsed="false">
      <c r="A383" s="0" t="s">
        <v>331</v>
      </c>
      <c r="B383" s="0" t="s">
        <v>75</v>
      </c>
      <c r="C383" s="0" t="s">
        <v>39</v>
      </c>
      <c r="E383" s="3" t="n">
        <v>323516</v>
      </c>
    </row>
    <row r="384" customFormat="false" ht="15" hidden="false" customHeight="false" outlineLevel="0" collapsed="false">
      <c r="A384" s="0" t="s">
        <v>332</v>
      </c>
      <c r="B384" s="0" t="s">
        <v>218</v>
      </c>
      <c r="C384" s="0" t="s">
        <v>39</v>
      </c>
      <c r="E384" s="3" t="n">
        <v>520936</v>
      </c>
    </row>
    <row r="385" customFormat="false" ht="15" hidden="false" customHeight="false" outlineLevel="0" collapsed="false">
      <c r="A385" s="0" t="s">
        <v>333</v>
      </c>
      <c r="B385" s="0" t="s">
        <v>75</v>
      </c>
      <c r="C385" s="0" t="s">
        <v>39</v>
      </c>
      <c r="E385" s="3" t="n">
        <v>284148</v>
      </c>
    </row>
    <row r="386" customFormat="false" ht="15" hidden="false" customHeight="false" outlineLevel="0" collapsed="false">
      <c r="A386" s="0" t="s">
        <v>333</v>
      </c>
      <c r="B386" s="0" t="s">
        <v>98</v>
      </c>
      <c r="C386" s="0" t="s">
        <v>32</v>
      </c>
      <c r="D386" s="3" t="n">
        <v>672525</v>
      </c>
    </row>
    <row r="387" customFormat="false" ht="15" hidden="false" customHeight="false" outlineLevel="0" collapsed="false">
      <c r="A387" s="0" t="s">
        <v>333</v>
      </c>
      <c r="B387" s="0" t="s">
        <v>334</v>
      </c>
      <c r="C387" s="0" t="s">
        <v>32</v>
      </c>
      <c r="D387" s="3" t="n">
        <v>174043</v>
      </c>
    </row>
    <row r="388" customFormat="false" ht="15" hidden="false" customHeight="false" outlineLevel="0" collapsed="false">
      <c r="A388" s="0" t="s">
        <v>335</v>
      </c>
      <c r="B388" s="0" t="s">
        <v>75</v>
      </c>
      <c r="C388" s="0" t="s">
        <v>39</v>
      </c>
      <c r="E388" s="3" t="n">
        <v>126665</v>
      </c>
    </row>
    <row r="389" customFormat="false" ht="15" hidden="false" customHeight="false" outlineLevel="0" collapsed="false">
      <c r="A389" s="0" t="s">
        <v>336</v>
      </c>
      <c r="B389" s="0" t="s">
        <v>75</v>
      </c>
      <c r="C389" s="0" t="s">
        <v>39</v>
      </c>
      <c r="E389" s="3" t="n">
        <v>576550</v>
      </c>
    </row>
    <row r="390" customFormat="false" ht="15" hidden="false" customHeight="false" outlineLevel="0" collapsed="false">
      <c r="A390" s="0" t="s">
        <v>337</v>
      </c>
      <c r="B390" s="0" t="s">
        <v>75</v>
      </c>
      <c r="C390" s="0" t="s">
        <v>39</v>
      </c>
      <c r="E390" s="3" t="n">
        <v>677822</v>
      </c>
    </row>
    <row r="391" customFormat="false" ht="15" hidden="false" customHeight="false" outlineLevel="0" collapsed="false">
      <c r="A391" s="0" t="s">
        <v>338</v>
      </c>
      <c r="B391" s="0" t="s">
        <v>75</v>
      </c>
      <c r="C391" s="0" t="s">
        <v>39</v>
      </c>
      <c r="E391" s="3" t="n">
        <v>200213</v>
      </c>
    </row>
    <row r="392" customFormat="false" ht="15" hidden="false" customHeight="false" outlineLevel="0" collapsed="false">
      <c r="A392" s="0" t="s">
        <v>339</v>
      </c>
      <c r="B392" s="0" t="s">
        <v>75</v>
      </c>
      <c r="C392" s="0" t="s">
        <v>39</v>
      </c>
      <c r="E392" s="3" t="n">
        <v>158547</v>
      </c>
    </row>
    <row r="393" customFormat="false" ht="15" hidden="false" customHeight="false" outlineLevel="0" collapsed="false">
      <c r="A393" s="0" t="s">
        <v>339</v>
      </c>
      <c r="B393" s="0" t="s">
        <v>80</v>
      </c>
      <c r="C393" s="0" t="s">
        <v>31</v>
      </c>
      <c r="D393" s="3" t="n">
        <v>977925</v>
      </c>
    </row>
    <row r="394" customFormat="false" ht="15" hidden="false" customHeight="false" outlineLevel="0" collapsed="false">
      <c r="A394" s="0" t="s">
        <v>339</v>
      </c>
      <c r="B394" s="0" t="s">
        <v>90</v>
      </c>
      <c r="C394" s="0" t="s">
        <v>35</v>
      </c>
      <c r="D394" s="3" t="n">
        <v>76160</v>
      </c>
    </row>
    <row r="395" customFormat="false" ht="15" hidden="false" customHeight="false" outlineLevel="0" collapsed="false">
      <c r="A395" s="0" t="s">
        <v>340</v>
      </c>
      <c r="B395" s="0" t="s">
        <v>75</v>
      </c>
      <c r="C395" s="0" t="s">
        <v>39</v>
      </c>
      <c r="E395" s="3" t="n">
        <v>642639</v>
      </c>
    </row>
    <row r="396" customFormat="false" ht="15" hidden="false" customHeight="false" outlineLevel="0" collapsed="false">
      <c r="A396" s="0" t="s">
        <v>340</v>
      </c>
      <c r="B396" s="0" t="s">
        <v>341</v>
      </c>
      <c r="C396" s="0" t="s">
        <v>34</v>
      </c>
      <c r="D396" s="3" t="n">
        <v>37011</v>
      </c>
    </row>
    <row r="397" customFormat="false" ht="15" hidden="false" customHeight="false" outlineLevel="0" collapsed="false">
      <c r="A397" s="0" t="s">
        <v>342</v>
      </c>
      <c r="B397" s="0" t="s">
        <v>75</v>
      </c>
      <c r="C397" s="0" t="s">
        <v>39</v>
      </c>
      <c r="E397" s="3" t="n">
        <v>352962</v>
      </c>
    </row>
    <row r="398" customFormat="false" ht="15" hidden="false" customHeight="false" outlineLevel="0" collapsed="false">
      <c r="A398" s="0" t="s">
        <v>343</v>
      </c>
      <c r="B398" s="0" t="s">
        <v>75</v>
      </c>
      <c r="C398" s="0" t="s">
        <v>39</v>
      </c>
      <c r="E398" s="3" t="n">
        <v>563284</v>
      </c>
    </row>
    <row r="399" customFormat="false" ht="15" hidden="false" customHeight="false" outlineLevel="0" collapsed="false">
      <c r="A399" s="0" t="s">
        <v>344</v>
      </c>
      <c r="B399" s="0" t="s">
        <v>345</v>
      </c>
      <c r="C399" s="0" t="s">
        <v>34</v>
      </c>
      <c r="D399" s="3" t="n">
        <v>267230</v>
      </c>
    </row>
    <row r="400" customFormat="false" ht="15" hidden="false" customHeight="false" outlineLevel="0" collapsed="false">
      <c r="A400" s="0" t="s">
        <v>344</v>
      </c>
      <c r="B400" s="0" t="s">
        <v>75</v>
      </c>
      <c r="C400" s="0" t="s">
        <v>39</v>
      </c>
      <c r="E400" s="3" t="n">
        <v>415542</v>
      </c>
    </row>
    <row r="401" customFormat="false" ht="15" hidden="false" customHeight="false" outlineLevel="0" collapsed="false">
      <c r="A401" s="0" t="s">
        <v>346</v>
      </c>
      <c r="B401" s="0" t="s">
        <v>75</v>
      </c>
      <c r="C401" s="0" t="s">
        <v>39</v>
      </c>
      <c r="E401" s="3" t="n">
        <v>273018</v>
      </c>
    </row>
    <row r="402" customFormat="false" ht="15" hidden="false" customHeight="false" outlineLevel="0" collapsed="false">
      <c r="A402" s="0" t="s">
        <v>347</v>
      </c>
      <c r="B402" s="0" t="s">
        <v>75</v>
      </c>
      <c r="C402" s="0" t="s">
        <v>39</v>
      </c>
      <c r="E402" s="3" t="n">
        <v>534348</v>
      </c>
    </row>
    <row r="403" customFormat="false" ht="15" hidden="false" customHeight="false" outlineLevel="0" collapsed="false">
      <c r="A403" s="0" t="s">
        <v>348</v>
      </c>
      <c r="B403" s="0" t="s">
        <v>75</v>
      </c>
      <c r="C403" s="0" t="s">
        <v>39</v>
      </c>
      <c r="E403" s="3" t="n">
        <v>291258</v>
      </c>
    </row>
    <row r="404" customFormat="false" ht="15" hidden="false" customHeight="false" outlineLevel="0" collapsed="false">
      <c r="A404" s="0" t="s">
        <v>349</v>
      </c>
      <c r="B404" s="0" t="s">
        <v>75</v>
      </c>
      <c r="C404" s="0" t="s">
        <v>39</v>
      </c>
      <c r="E404" s="3" t="n">
        <v>1161751</v>
      </c>
    </row>
    <row r="405" customFormat="false" ht="15" hidden="false" customHeight="false" outlineLevel="0" collapsed="false">
      <c r="A405" s="0" t="s">
        <v>350</v>
      </c>
      <c r="B405" s="0" t="s">
        <v>75</v>
      </c>
      <c r="C405" s="0" t="s">
        <v>39</v>
      </c>
      <c r="E405" s="3" t="n">
        <v>214399</v>
      </c>
    </row>
    <row r="406" customFormat="false" ht="15" hidden="false" customHeight="false" outlineLevel="0" collapsed="false">
      <c r="A406" s="0" t="s">
        <v>350</v>
      </c>
      <c r="B406" s="0" t="s">
        <v>116</v>
      </c>
      <c r="C406" s="0" t="s">
        <v>29</v>
      </c>
      <c r="D406" s="3" t="n">
        <v>277220</v>
      </c>
    </row>
    <row r="407" customFormat="false" ht="15" hidden="false" customHeight="false" outlineLevel="0" collapsed="false">
      <c r="A407" s="0" t="s">
        <v>350</v>
      </c>
      <c r="B407" s="0" t="s">
        <v>107</v>
      </c>
      <c r="C407" s="0" t="s">
        <v>30</v>
      </c>
      <c r="D407" s="3" t="n">
        <v>433053</v>
      </c>
    </row>
    <row r="408" customFormat="false" ht="15" hidden="false" customHeight="false" outlineLevel="0" collapsed="false">
      <c r="A408" s="0" t="s">
        <v>350</v>
      </c>
      <c r="B408" s="0" t="s">
        <v>116</v>
      </c>
      <c r="C408" s="0" t="s">
        <v>29</v>
      </c>
      <c r="D408" s="3" t="n">
        <v>586050</v>
      </c>
    </row>
    <row r="409" customFormat="false" ht="15" hidden="false" customHeight="false" outlineLevel="0" collapsed="false">
      <c r="A409" s="0" t="s">
        <v>350</v>
      </c>
      <c r="B409" s="0" t="s">
        <v>103</v>
      </c>
      <c r="C409" s="0" t="s">
        <v>28</v>
      </c>
      <c r="D409" s="3" t="n">
        <v>1174234</v>
      </c>
    </row>
    <row r="410" customFormat="false" ht="15" hidden="false" customHeight="false" outlineLevel="0" collapsed="false">
      <c r="A410" s="0" t="s">
        <v>350</v>
      </c>
      <c r="B410" s="0" t="s">
        <v>82</v>
      </c>
      <c r="C410" s="0" t="s">
        <v>33</v>
      </c>
      <c r="D410" s="3" t="n">
        <v>338300</v>
      </c>
    </row>
    <row r="411" customFormat="false" ht="15" hidden="false" customHeight="false" outlineLevel="0" collapsed="false">
      <c r="A411" s="0" t="s">
        <v>350</v>
      </c>
      <c r="B411" s="0" t="s">
        <v>76</v>
      </c>
      <c r="C411" s="0" t="s">
        <v>27</v>
      </c>
      <c r="D411" s="3" t="n">
        <v>727600</v>
      </c>
    </row>
    <row r="412" customFormat="false" ht="15" hidden="false" customHeight="false" outlineLevel="0" collapsed="false">
      <c r="A412" s="0" t="s">
        <v>350</v>
      </c>
      <c r="B412" s="0" t="s">
        <v>105</v>
      </c>
      <c r="C412" s="0" t="s">
        <v>36</v>
      </c>
      <c r="D412" s="3" t="n">
        <v>159785</v>
      </c>
    </row>
    <row r="413" customFormat="false" ht="15" hidden="false" customHeight="false" outlineLevel="0" collapsed="false">
      <c r="A413" s="0" t="s">
        <v>351</v>
      </c>
      <c r="B413" s="0" t="s">
        <v>75</v>
      </c>
      <c r="C413" s="0" t="s">
        <v>39</v>
      </c>
      <c r="E413" s="3" t="n">
        <v>230329</v>
      </c>
    </row>
    <row r="414" customFormat="false" ht="15" hidden="false" customHeight="false" outlineLevel="0" collapsed="false">
      <c r="A414" s="0" t="s">
        <v>352</v>
      </c>
      <c r="B414" s="0" t="s">
        <v>75</v>
      </c>
      <c r="C414" s="0" t="s">
        <v>39</v>
      </c>
      <c r="E414" s="3" t="n">
        <v>90052</v>
      </c>
    </row>
    <row r="415" customFormat="false" ht="15" hidden="false" customHeight="false" outlineLevel="0" collapsed="false">
      <c r="A415" s="0" t="s">
        <v>353</v>
      </c>
      <c r="B415" s="0" t="s">
        <v>75</v>
      </c>
      <c r="C415" s="0" t="s">
        <v>39</v>
      </c>
      <c r="E415" s="3" t="n">
        <v>592156</v>
      </c>
    </row>
    <row r="416" customFormat="false" ht="15" hidden="false" customHeight="false" outlineLevel="0" collapsed="false">
      <c r="A416" s="0" t="s">
        <v>354</v>
      </c>
      <c r="B416" s="0" t="s">
        <v>75</v>
      </c>
      <c r="C416" s="0" t="s">
        <v>39</v>
      </c>
      <c r="E416" s="3" t="n">
        <v>594583</v>
      </c>
    </row>
    <row r="417" customFormat="false" ht="15" hidden="false" customHeight="false" outlineLevel="0" collapsed="false">
      <c r="A417" s="0" t="s">
        <v>355</v>
      </c>
      <c r="B417" s="0" t="s">
        <v>75</v>
      </c>
      <c r="C417" s="0" t="s">
        <v>39</v>
      </c>
      <c r="E417" s="3" t="n">
        <v>176041</v>
      </c>
    </row>
    <row r="418" customFormat="false" ht="15" hidden="false" customHeight="false" outlineLevel="0" collapsed="false">
      <c r="A418" s="0" t="s">
        <v>356</v>
      </c>
      <c r="B418" s="0" t="s">
        <v>75</v>
      </c>
      <c r="C418" s="0" t="s">
        <v>39</v>
      </c>
      <c r="E418" s="3" t="n">
        <v>116815</v>
      </c>
    </row>
    <row r="419" customFormat="false" ht="15" hidden="false" customHeight="false" outlineLevel="0" collapsed="false">
      <c r="A419" s="0" t="s">
        <v>357</v>
      </c>
      <c r="B419" s="0" t="s">
        <v>358</v>
      </c>
      <c r="C419" s="0" t="s">
        <v>34</v>
      </c>
      <c r="E419" s="3" t="n">
        <v>42000</v>
      </c>
    </row>
    <row r="420" customFormat="false" ht="15" hidden="false" customHeight="false" outlineLevel="0" collapsed="false">
      <c r="A420" s="0" t="s">
        <v>357</v>
      </c>
      <c r="B420" s="0" t="s">
        <v>75</v>
      </c>
      <c r="C420" s="0" t="s">
        <v>39</v>
      </c>
      <c r="E420" s="3" t="n">
        <v>238340</v>
      </c>
    </row>
    <row r="421" customFormat="false" ht="15" hidden="false" customHeight="false" outlineLevel="0" collapsed="false">
      <c r="A421" s="0" t="s">
        <v>357</v>
      </c>
      <c r="B421" s="0" t="s">
        <v>334</v>
      </c>
      <c r="C421" s="0" t="s">
        <v>32</v>
      </c>
      <c r="D421" s="3" t="n">
        <v>155232</v>
      </c>
    </row>
    <row r="422" customFormat="false" ht="15" hidden="false" customHeight="false" outlineLevel="0" collapsed="false">
      <c r="A422" s="0" t="s">
        <v>357</v>
      </c>
      <c r="B422" s="0" t="s">
        <v>98</v>
      </c>
      <c r="C422" s="0" t="s">
        <v>32</v>
      </c>
      <c r="D422" s="3" t="n">
        <v>635746</v>
      </c>
    </row>
    <row r="423" customFormat="false" ht="15" hidden="false" customHeight="false" outlineLevel="0" collapsed="false">
      <c r="A423" s="0" t="s">
        <v>357</v>
      </c>
      <c r="B423" s="0" t="s">
        <v>168</v>
      </c>
      <c r="C423" s="0" t="s">
        <v>32</v>
      </c>
      <c r="D423" s="3" t="n">
        <v>47907</v>
      </c>
    </row>
    <row r="424" customFormat="false" ht="15" hidden="false" customHeight="false" outlineLevel="0" collapsed="false">
      <c r="A424" s="0" t="s">
        <v>359</v>
      </c>
      <c r="B424" s="0" t="s">
        <v>218</v>
      </c>
      <c r="C424" s="0" t="s">
        <v>39</v>
      </c>
      <c r="E424" s="3" t="n">
        <v>867000</v>
      </c>
    </row>
    <row r="425" customFormat="false" ht="15" hidden="false" customHeight="false" outlineLevel="0" collapsed="false">
      <c r="A425" s="0" t="s">
        <v>360</v>
      </c>
      <c r="B425" s="0" t="s">
        <v>118</v>
      </c>
      <c r="C425" s="0" t="s">
        <v>32</v>
      </c>
      <c r="D425" s="3" t="n">
        <v>231814</v>
      </c>
    </row>
    <row r="426" customFormat="false" ht="15" hidden="false" customHeight="false" outlineLevel="0" collapsed="false">
      <c r="A426" s="0" t="s">
        <v>360</v>
      </c>
      <c r="B426" s="0" t="s">
        <v>75</v>
      </c>
      <c r="C426" s="0" t="s">
        <v>39</v>
      </c>
      <c r="E426" s="3" t="n">
        <v>533682</v>
      </c>
    </row>
    <row r="427" customFormat="false" ht="15" hidden="false" customHeight="false" outlineLevel="0" collapsed="false">
      <c r="A427" s="0" t="s">
        <v>361</v>
      </c>
      <c r="B427" s="0" t="s">
        <v>75</v>
      </c>
      <c r="C427" s="0" t="s">
        <v>39</v>
      </c>
      <c r="E427" s="3" t="n">
        <v>419756</v>
      </c>
    </row>
    <row r="428" customFormat="false" ht="15" hidden="false" customHeight="false" outlineLevel="0" collapsed="false">
      <c r="A428" s="0" t="s">
        <v>362</v>
      </c>
      <c r="B428" s="0" t="s">
        <v>75</v>
      </c>
      <c r="C428" s="0" t="s">
        <v>39</v>
      </c>
      <c r="E428" s="3" t="n">
        <v>463984</v>
      </c>
    </row>
    <row r="429" customFormat="false" ht="15" hidden="false" customHeight="false" outlineLevel="0" collapsed="false">
      <c r="A429" s="0" t="s">
        <v>363</v>
      </c>
      <c r="B429" s="0" t="s">
        <v>82</v>
      </c>
      <c r="C429" s="0" t="s">
        <v>33</v>
      </c>
      <c r="D429" s="3" t="n">
        <v>567800</v>
      </c>
    </row>
    <row r="430" customFormat="false" ht="15" hidden="false" customHeight="false" outlineLevel="0" collapsed="false">
      <c r="A430" s="0" t="s">
        <v>363</v>
      </c>
      <c r="B430" s="0" t="s">
        <v>90</v>
      </c>
      <c r="C430" s="0" t="s">
        <v>35</v>
      </c>
      <c r="D430" s="3" t="n">
        <v>515440</v>
      </c>
    </row>
    <row r="431" customFormat="false" ht="15" hidden="false" customHeight="false" outlineLevel="0" collapsed="false">
      <c r="A431" s="0" t="s">
        <v>363</v>
      </c>
      <c r="B431" s="0" t="s">
        <v>76</v>
      </c>
      <c r="C431" s="0" t="s">
        <v>27</v>
      </c>
      <c r="D431" s="3" t="n">
        <v>1657118</v>
      </c>
    </row>
    <row r="432" customFormat="false" ht="15" hidden="false" customHeight="false" outlineLevel="0" collapsed="false">
      <c r="A432" s="0" t="s">
        <v>363</v>
      </c>
      <c r="B432" s="0" t="s">
        <v>116</v>
      </c>
      <c r="C432" s="0" t="s">
        <v>29</v>
      </c>
      <c r="D432" s="3" t="n">
        <v>778154</v>
      </c>
    </row>
    <row r="433" customFormat="false" ht="15" hidden="false" customHeight="false" outlineLevel="0" collapsed="false">
      <c r="A433" s="0" t="s">
        <v>363</v>
      </c>
      <c r="B433" s="0" t="s">
        <v>116</v>
      </c>
      <c r="C433" s="0" t="s">
        <v>29</v>
      </c>
      <c r="D433" s="3" t="n">
        <v>277505</v>
      </c>
      <c r="F433" s="13" t="s">
        <v>364</v>
      </c>
    </row>
    <row r="434" customFormat="false" ht="15" hidden="false" customHeight="false" outlineLevel="0" collapsed="false">
      <c r="A434" s="0" t="s">
        <v>363</v>
      </c>
      <c r="B434" s="0" t="s">
        <v>75</v>
      </c>
      <c r="C434" s="0" t="s">
        <v>39</v>
      </c>
      <c r="E434" s="3" t="n">
        <v>1224519</v>
      </c>
    </row>
    <row r="435" customFormat="false" ht="15" hidden="false" customHeight="false" outlineLevel="0" collapsed="false">
      <c r="A435" s="0" t="s">
        <v>363</v>
      </c>
      <c r="B435" s="0" t="s">
        <v>80</v>
      </c>
      <c r="C435" s="0" t="s">
        <v>31</v>
      </c>
      <c r="D435" s="3" t="n">
        <v>1192933</v>
      </c>
    </row>
    <row r="436" customFormat="false" ht="15" hidden="false" customHeight="false" outlineLevel="0" collapsed="false">
      <c r="A436" s="0" t="s">
        <v>365</v>
      </c>
      <c r="B436" s="0" t="s">
        <v>75</v>
      </c>
      <c r="C436" s="0" t="s">
        <v>39</v>
      </c>
      <c r="E436" s="3" t="n">
        <v>1757680</v>
      </c>
    </row>
    <row r="437" customFormat="false" ht="15" hidden="false" customHeight="false" outlineLevel="0" collapsed="false">
      <c r="A437" s="0" t="s">
        <v>365</v>
      </c>
      <c r="B437" s="0" t="s">
        <v>96</v>
      </c>
      <c r="C437" s="0" t="s">
        <v>37</v>
      </c>
      <c r="D437" s="3" t="n">
        <v>58753</v>
      </c>
    </row>
    <row r="438" customFormat="false" ht="15" hidden="false" customHeight="false" outlineLevel="0" collapsed="false">
      <c r="A438" s="0" t="s">
        <v>365</v>
      </c>
      <c r="B438" s="0" t="s">
        <v>85</v>
      </c>
      <c r="C438" s="0" t="s">
        <v>34</v>
      </c>
      <c r="D438" s="3" t="n">
        <v>913427</v>
      </c>
    </row>
    <row r="439" customFormat="false" ht="15" hidden="false" customHeight="false" outlineLevel="0" collapsed="false">
      <c r="A439" s="0" t="s">
        <v>366</v>
      </c>
      <c r="B439" s="0" t="s">
        <v>75</v>
      </c>
      <c r="C439" s="0" t="s">
        <v>39</v>
      </c>
      <c r="E439" s="3" t="n">
        <v>2777588</v>
      </c>
    </row>
    <row r="440" customFormat="false" ht="15" hidden="false" customHeight="false" outlineLevel="0" collapsed="false">
      <c r="A440" s="0" t="s">
        <v>366</v>
      </c>
      <c r="B440" s="0" t="s">
        <v>103</v>
      </c>
      <c r="C440" s="0" t="s">
        <v>28</v>
      </c>
      <c r="D440" s="3" t="n">
        <v>775570</v>
      </c>
      <c r="F440" s="13" t="s">
        <v>367</v>
      </c>
    </row>
    <row r="441" customFormat="false" ht="15" hidden="false" customHeight="false" outlineLevel="0" collapsed="false">
      <c r="A441" s="0" t="s">
        <v>366</v>
      </c>
      <c r="B441" s="0" t="s">
        <v>107</v>
      </c>
      <c r="C441" s="0" t="s">
        <v>30</v>
      </c>
      <c r="D441" s="3" t="n">
        <v>785834</v>
      </c>
    </row>
    <row r="442" customFormat="false" ht="15" hidden="false" customHeight="false" outlineLevel="0" collapsed="false">
      <c r="A442" s="0" t="s">
        <v>366</v>
      </c>
      <c r="B442" s="0" t="s">
        <v>105</v>
      </c>
      <c r="C442" s="0" t="s">
        <v>36</v>
      </c>
      <c r="D442" s="3" t="n">
        <v>104644</v>
      </c>
    </row>
    <row r="443" customFormat="false" ht="15" hidden="false" customHeight="false" outlineLevel="0" collapsed="false">
      <c r="A443" s="0" t="s">
        <v>368</v>
      </c>
      <c r="B443" s="0" t="s">
        <v>75</v>
      </c>
      <c r="C443" s="0" t="s">
        <v>39</v>
      </c>
      <c r="E443" s="3" t="n">
        <v>1391837</v>
      </c>
    </row>
    <row r="444" customFormat="false" ht="15" hidden="false" customHeight="false" outlineLevel="0" collapsed="false">
      <c r="A444" s="0" t="s">
        <v>369</v>
      </c>
      <c r="B444" s="0" t="s">
        <v>75</v>
      </c>
      <c r="C444" s="0" t="s">
        <v>39</v>
      </c>
      <c r="E444" s="3" t="n">
        <v>865219</v>
      </c>
    </row>
    <row r="445" customFormat="false" ht="15" hidden="false" customHeight="false" outlineLevel="0" collapsed="false">
      <c r="A445" s="0" t="s">
        <v>370</v>
      </c>
      <c r="B445" s="0" t="s">
        <v>75</v>
      </c>
      <c r="C445" s="0" t="s">
        <v>39</v>
      </c>
      <c r="E445" s="3" t="n">
        <v>676623</v>
      </c>
    </row>
    <row r="446" customFormat="false" ht="15" hidden="false" customHeight="false" outlineLevel="0" collapsed="false">
      <c r="A446" s="0" t="s">
        <v>371</v>
      </c>
      <c r="B446" s="0" t="s">
        <v>75</v>
      </c>
      <c r="C446" s="0" t="s">
        <v>39</v>
      </c>
      <c r="E446" s="3" t="n">
        <v>907822</v>
      </c>
    </row>
    <row r="447" customFormat="false" ht="15" hidden="false" customHeight="false" outlineLevel="0" collapsed="false">
      <c r="A447" s="0" t="s">
        <v>372</v>
      </c>
      <c r="B447" s="0" t="s">
        <v>75</v>
      </c>
      <c r="C447" s="0" t="s">
        <v>39</v>
      </c>
      <c r="E447" s="3" t="n">
        <v>348061</v>
      </c>
    </row>
    <row r="448" customFormat="false" ht="15" hidden="false" customHeight="false" outlineLevel="0" collapsed="false">
      <c r="A448" s="0" t="s">
        <v>373</v>
      </c>
      <c r="B448" s="0" t="s">
        <v>98</v>
      </c>
      <c r="C448" s="0" t="s">
        <v>32</v>
      </c>
      <c r="D448" s="3" t="n">
        <v>877232</v>
      </c>
    </row>
    <row r="449" customFormat="false" ht="15" hidden="false" customHeight="false" outlineLevel="0" collapsed="false">
      <c r="A449" s="0" t="s">
        <v>373</v>
      </c>
      <c r="B449" s="0" t="s">
        <v>80</v>
      </c>
      <c r="C449" s="0" t="s">
        <v>31</v>
      </c>
      <c r="D449" s="3" t="n">
        <v>1294848</v>
      </c>
    </row>
    <row r="450" customFormat="false" ht="15" hidden="false" customHeight="false" outlineLevel="0" collapsed="false">
      <c r="A450" s="0" t="s">
        <v>373</v>
      </c>
      <c r="B450" s="0" t="s">
        <v>90</v>
      </c>
      <c r="C450" s="0" t="s">
        <v>35</v>
      </c>
      <c r="D450" s="3" t="n">
        <v>1023400</v>
      </c>
    </row>
    <row r="451" customFormat="false" ht="15" hidden="false" customHeight="false" outlineLevel="0" collapsed="false">
      <c r="A451" s="0" t="s">
        <v>373</v>
      </c>
      <c r="B451" s="0" t="s">
        <v>168</v>
      </c>
      <c r="C451" s="0" t="s">
        <v>32</v>
      </c>
      <c r="D451" s="3" t="n">
        <v>168074</v>
      </c>
    </row>
    <row r="452" customFormat="false" ht="15" hidden="false" customHeight="false" outlineLevel="0" collapsed="false">
      <c r="A452" s="0" t="s">
        <v>373</v>
      </c>
      <c r="B452" s="0" t="s">
        <v>334</v>
      </c>
      <c r="C452" s="0" t="s">
        <v>32</v>
      </c>
      <c r="D452" s="3" t="n">
        <v>73702</v>
      </c>
    </row>
    <row r="453" customFormat="false" ht="15" hidden="false" customHeight="false" outlineLevel="0" collapsed="false">
      <c r="A453" s="0" t="s">
        <v>373</v>
      </c>
      <c r="B453" s="0" t="s">
        <v>75</v>
      </c>
      <c r="C453" s="0" t="s">
        <v>39</v>
      </c>
      <c r="E453" s="3" t="n">
        <v>596730</v>
      </c>
    </row>
    <row r="454" customFormat="false" ht="15" hidden="false" customHeight="false" outlineLevel="0" collapsed="false">
      <c r="A454" s="0" t="s">
        <v>374</v>
      </c>
      <c r="B454" s="0" t="s">
        <v>75</v>
      </c>
      <c r="C454" s="0" t="s">
        <v>39</v>
      </c>
      <c r="E454" s="3" t="n">
        <v>1079465</v>
      </c>
    </row>
    <row r="455" customFormat="false" ht="15" hidden="false" customHeight="false" outlineLevel="0" collapsed="false">
      <c r="A455" s="0" t="s">
        <v>374</v>
      </c>
      <c r="B455" s="0" t="s">
        <v>76</v>
      </c>
      <c r="C455" s="0" t="s">
        <v>27</v>
      </c>
      <c r="D455" s="3" t="n">
        <v>2322583</v>
      </c>
    </row>
    <row r="456" customFormat="false" ht="15" hidden="false" customHeight="false" outlineLevel="0" collapsed="false">
      <c r="A456" s="0" t="s">
        <v>375</v>
      </c>
      <c r="B456" s="0" t="s">
        <v>75</v>
      </c>
      <c r="C456" s="0" t="s">
        <v>39</v>
      </c>
      <c r="E456" s="3" t="n">
        <v>627974</v>
      </c>
    </row>
    <row r="457" customFormat="false" ht="15" hidden="false" customHeight="false" outlineLevel="0" collapsed="false">
      <c r="A457" s="0" t="s">
        <v>376</v>
      </c>
      <c r="B457" s="0" t="s">
        <v>107</v>
      </c>
      <c r="C457" s="0" t="s">
        <v>30</v>
      </c>
      <c r="D457" s="3" t="n">
        <v>2000000</v>
      </c>
    </row>
    <row r="458" customFormat="false" ht="15" hidden="false" customHeight="false" outlineLevel="0" collapsed="false">
      <c r="A458" s="0" t="s">
        <v>376</v>
      </c>
      <c r="B458" s="0" t="s">
        <v>103</v>
      </c>
      <c r="C458" s="0" t="s">
        <v>28</v>
      </c>
      <c r="D458" s="3" t="n">
        <v>2000000</v>
      </c>
    </row>
    <row r="459" customFormat="false" ht="15" hidden="false" customHeight="false" outlineLevel="0" collapsed="false">
      <c r="A459" s="0" t="s">
        <v>376</v>
      </c>
      <c r="B459" s="0" t="s">
        <v>105</v>
      </c>
      <c r="C459" s="0" t="s">
        <v>36</v>
      </c>
      <c r="D459" s="3" t="n">
        <v>1000000</v>
      </c>
    </row>
    <row r="460" customFormat="false" ht="15" hidden="false" customHeight="false" outlineLevel="0" collapsed="false">
      <c r="A460" s="0" t="s">
        <v>376</v>
      </c>
      <c r="B460" s="0" t="s">
        <v>75</v>
      </c>
      <c r="C460" s="0" t="s">
        <v>39</v>
      </c>
      <c r="E460" s="3" t="n">
        <v>436095</v>
      </c>
    </row>
    <row r="461" customFormat="false" ht="15" hidden="false" customHeight="false" outlineLevel="0" collapsed="false">
      <c r="A461" s="0" t="s">
        <v>377</v>
      </c>
      <c r="B461" s="0" t="s">
        <v>75</v>
      </c>
      <c r="C461" s="0" t="s">
        <v>39</v>
      </c>
      <c r="E461" s="3" t="n">
        <v>391646</v>
      </c>
    </row>
    <row r="462" customFormat="false" ht="15" hidden="false" customHeight="false" outlineLevel="0" collapsed="false">
      <c r="A462" s="0" t="s">
        <v>378</v>
      </c>
      <c r="B462" s="0" t="s">
        <v>75</v>
      </c>
      <c r="C462" s="0" t="s">
        <v>39</v>
      </c>
      <c r="E462" s="3" t="n">
        <v>667612</v>
      </c>
    </row>
    <row r="463" customFormat="false" ht="15" hidden="false" customHeight="false" outlineLevel="0" collapsed="false">
      <c r="A463" s="0" t="s">
        <v>378</v>
      </c>
      <c r="B463" s="0" t="s">
        <v>379</v>
      </c>
      <c r="C463" s="0" t="s">
        <v>32</v>
      </c>
      <c r="E463" s="3" t="n">
        <v>58000</v>
      </c>
    </row>
    <row r="464" customFormat="false" ht="15" hidden="false" customHeight="false" outlineLevel="0" collapsed="false">
      <c r="A464" s="0" t="s">
        <v>380</v>
      </c>
      <c r="B464" s="0" t="s">
        <v>75</v>
      </c>
      <c r="C464" s="0" t="s">
        <v>39</v>
      </c>
      <c r="E464" s="3" t="n">
        <v>1188280</v>
      </c>
    </row>
    <row r="465" customFormat="false" ht="15" hidden="false" customHeight="false" outlineLevel="0" collapsed="false">
      <c r="A465" s="0" t="s">
        <v>381</v>
      </c>
      <c r="B465" s="0" t="s">
        <v>75</v>
      </c>
      <c r="C465" s="0" t="s">
        <v>39</v>
      </c>
      <c r="E465" s="3" t="n">
        <v>105878</v>
      </c>
    </row>
    <row r="466" customFormat="false" ht="15" hidden="false" customHeight="false" outlineLevel="0" collapsed="false">
      <c r="A466" s="0" t="s">
        <v>382</v>
      </c>
      <c r="B466" s="0" t="s">
        <v>75</v>
      </c>
      <c r="C466" s="0" t="s">
        <v>39</v>
      </c>
      <c r="E466" s="3" t="n">
        <v>171876</v>
      </c>
    </row>
    <row r="467" customFormat="false" ht="15" hidden="false" customHeight="false" outlineLevel="0" collapsed="false">
      <c r="A467" s="0" t="s">
        <v>383</v>
      </c>
      <c r="B467" s="0" t="s">
        <v>221</v>
      </c>
      <c r="C467" s="0" t="s">
        <v>32</v>
      </c>
      <c r="E467" s="3" t="n">
        <v>80000</v>
      </c>
    </row>
    <row r="468" customFormat="false" ht="15" hidden="false" customHeight="false" outlineLevel="0" collapsed="false">
      <c r="A468" s="0" t="s">
        <v>383</v>
      </c>
      <c r="B468" s="0" t="s">
        <v>75</v>
      </c>
      <c r="C468" s="0" t="s">
        <v>39</v>
      </c>
      <c r="E468" s="3" t="n">
        <v>422305</v>
      </c>
    </row>
    <row r="469" customFormat="false" ht="15" hidden="false" customHeight="false" outlineLevel="0" collapsed="false">
      <c r="A469" s="0" t="s">
        <v>383</v>
      </c>
      <c r="B469" s="0" t="s">
        <v>82</v>
      </c>
      <c r="C469" s="0" t="s">
        <v>33</v>
      </c>
      <c r="D469" s="3" t="n">
        <v>1574200</v>
      </c>
    </row>
    <row r="470" customFormat="false" ht="15" hidden="false" customHeight="false" outlineLevel="0" collapsed="false">
      <c r="A470" s="0" t="s">
        <v>384</v>
      </c>
      <c r="B470" s="0" t="s">
        <v>75</v>
      </c>
      <c r="C470" s="0" t="s">
        <v>39</v>
      </c>
      <c r="E470" s="3" t="n">
        <v>800323</v>
      </c>
    </row>
    <row r="471" customFormat="false" ht="15" hidden="false" customHeight="false" outlineLevel="0" collapsed="false">
      <c r="A471" s="0" t="s">
        <v>385</v>
      </c>
      <c r="B471" s="0" t="s">
        <v>85</v>
      </c>
      <c r="C471" s="0" t="s">
        <v>34</v>
      </c>
      <c r="D471" s="3" t="n">
        <v>210670</v>
      </c>
    </row>
    <row r="472" customFormat="false" ht="15" hidden="false" customHeight="false" outlineLevel="0" collapsed="false">
      <c r="A472" s="0" t="s">
        <v>385</v>
      </c>
      <c r="B472" s="0" t="s">
        <v>85</v>
      </c>
      <c r="C472" s="0" t="s">
        <v>34</v>
      </c>
      <c r="D472" s="3" t="n">
        <v>92310</v>
      </c>
    </row>
    <row r="473" customFormat="false" ht="15" hidden="false" customHeight="false" outlineLevel="0" collapsed="false">
      <c r="A473" s="0" t="s">
        <v>385</v>
      </c>
      <c r="B473" s="0" t="s">
        <v>75</v>
      </c>
      <c r="C473" s="0" t="s">
        <v>39</v>
      </c>
      <c r="E473" s="3" t="n">
        <v>732280</v>
      </c>
    </row>
    <row r="474" customFormat="false" ht="15" hidden="false" customHeight="false" outlineLevel="0" collapsed="false">
      <c r="A474" s="0" t="s">
        <v>386</v>
      </c>
      <c r="B474" s="0" t="s">
        <v>75</v>
      </c>
      <c r="C474" s="0" t="s">
        <v>39</v>
      </c>
      <c r="E474" s="3" t="n">
        <v>415118</v>
      </c>
    </row>
    <row r="475" customFormat="false" ht="15" hidden="false" customHeight="false" outlineLevel="0" collapsed="false">
      <c r="A475" s="0" t="s">
        <v>386</v>
      </c>
      <c r="B475" s="0" t="s">
        <v>105</v>
      </c>
      <c r="C475" s="0" t="s">
        <v>36</v>
      </c>
      <c r="D475" s="3" t="n">
        <v>1320</v>
      </c>
    </row>
    <row r="476" customFormat="false" ht="15" hidden="false" customHeight="false" outlineLevel="0" collapsed="false">
      <c r="A476" s="0" t="s">
        <v>386</v>
      </c>
      <c r="B476" s="0" t="s">
        <v>103</v>
      </c>
      <c r="C476" s="0" t="s">
        <v>28</v>
      </c>
      <c r="D476" s="3" t="n">
        <v>156797</v>
      </c>
    </row>
    <row r="477" customFormat="false" ht="15" hidden="false" customHeight="false" outlineLevel="0" collapsed="false">
      <c r="A477" s="0" t="s">
        <v>386</v>
      </c>
      <c r="B477" s="0" t="s">
        <v>105</v>
      </c>
      <c r="C477" s="0" t="s">
        <v>36</v>
      </c>
      <c r="D477" s="3" t="n">
        <v>74196</v>
      </c>
    </row>
    <row r="478" customFormat="false" ht="15" hidden="false" customHeight="false" outlineLevel="0" collapsed="false">
      <c r="A478" s="0" t="s">
        <v>386</v>
      </c>
      <c r="B478" s="0" t="s">
        <v>107</v>
      </c>
      <c r="C478" s="0" t="s">
        <v>30</v>
      </c>
      <c r="D478" s="3" t="n">
        <v>7563</v>
      </c>
    </row>
    <row r="479" customFormat="false" ht="15" hidden="false" customHeight="false" outlineLevel="0" collapsed="false">
      <c r="A479" s="0" t="s">
        <v>387</v>
      </c>
      <c r="B479" s="0" t="s">
        <v>75</v>
      </c>
      <c r="C479" s="0" t="s">
        <v>39</v>
      </c>
      <c r="E479" s="3" t="n">
        <v>72984</v>
      </c>
    </row>
    <row r="480" customFormat="false" ht="15" hidden="false" customHeight="false" outlineLevel="0" collapsed="false">
      <c r="A480" s="0" t="s">
        <v>387</v>
      </c>
      <c r="B480" s="0" t="s">
        <v>118</v>
      </c>
      <c r="C480" s="0" t="s">
        <v>34</v>
      </c>
      <c r="D480" s="3" t="n">
        <v>115941</v>
      </c>
    </row>
    <row r="481" customFormat="false" ht="15" hidden="false" customHeight="false" outlineLevel="0" collapsed="false">
      <c r="A481" s="0" t="s">
        <v>388</v>
      </c>
      <c r="B481" s="0" t="s">
        <v>389</v>
      </c>
      <c r="C481" s="0" t="s">
        <v>39</v>
      </c>
      <c r="E481" s="3" t="n">
        <v>368679</v>
      </c>
    </row>
    <row r="482" customFormat="false" ht="15" hidden="false" customHeight="false" outlineLevel="0" collapsed="false">
      <c r="A482" s="0" t="s">
        <v>388</v>
      </c>
      <c r="B482" s="0" t="s">
        <v>389</v>
      </c>
      <c r="C482" s="0" t="s">
        <v>39</v>
      </c>
      <c r="E482" s="3" t="n">
        <v>226987</v>
      </c>
    </row>
    <row r="483" customFormat="false" ht="15" hidden="false" customHeight="false" outlineLevel="0" collapsed="false">
      <c r="A483" s="0" t="s">
        <v>388</v>
      </c>
      <c r="B483" s="0" t="s">
        <v>75</v>
      </c>
      <c r="C483" s="0" t="s">
        <v>39</v>
      </c>
      <c r="E483" s="3" t="n">
        <v>173938</v>
      </c>
    </row>
    <row r="484" customFormat="false" ht="15" hidden="false" customHeight="false" outlineLevel="0" collapsed="false">
      <c r="A484" s="0" t="s">
        <v>388</v>
      </c>
      <c r="B484" s="0" t="s">
        <v>389</v>
      </c>
      <c r="C484" s="0" t="s">
        <v>39</v>
      </c>
      <c r="E484" s="3" t="n">
        <v>7174</v>
      </c>
    </row>
    <row r="485" customFormat="false" ht="15" hidden="false" customHeight="false" outlineLevel="0" collapsed="false">
      <c r="A485" s="0" t="s">
        <v>388</v>
      </c>
      <c r="B485" s="0" t="s">
        <v>389</v>
      </c>
      <c r="C485" s="0" t="s">
        <v>39</v>
      </c>
      <c r="E485" s="3" t="n">
        <v>263056</v>
      </c>
    </row>
    <row r="486" customFormat="false" ht="15" hidden="false" customHeight="false" outlineLevel="0" collapsed="false">
      <c r="A486" s="0" t="s">
        <v>388</v>
      </c>
      <c r="B486" s="0" t="s">
        <v>389</v>
      </c>
      <c r="C486" s="0" t="s">
        <v>39</v>
      </c>
      <c r="E486" s="3" t="n">
        <v>63373</v>
      </c>
    </row>
    <row r="487" customFormat="false" ht="15" hidden="false" customHeight="false" outlineLevel="0" collapsed="false">
      <c r="A487" s="0" t="s">
        <v>388</v>
      </c>
      <c r="B487" s="0" t="s">
        <v>389</v>
      </c>
      <c r="C487" s="0" t="s">
        <v>39</v>
      </c>
      <c r="E487" s="3" t="n">
        <v>141692</v>
      </c>
    </row>
    <row r="488" customFormat="false" ht="15" hidden="false" customHeight="false" outlineLevel="0" collapsed="false">
      <c r="A488" s="0" t="s">
        <v>390</v>
      </c>
      <c r="B488" s="0" t="s">
        <v>75</v>
      </c>
      <c r="C488" s="0" t="s">
        <v>39</v>
      </c>
      <c r="E488" s="3" t="n">
        <v>216966</v>
      </c>
    </row>
    <row r="489" customFormat="false" ht="15" hidden="false" customHeight="false" outlineLevel="0" collapsed="false">
      <c r="A489" s="0" t="s">
        <v>391</v>
      </c>
      <c r="B489" s="0" t="s">
        <v>389</v>
      </c>
      <c r="C489" s="0" t="s">
        <v>39</v>
      </c>
      <c r="E489" s="3" t="n">
        <v>97139</v>
      </c>
    </row>
    <row r="490" customFormat="false" ht="15" hidden="false" customHeight="false" outlineLevel="0" collapsed="false">
      <c r="A490" s="0" t="s">
        <v>391</v>
      </c>
      <c r="B490" s="0" t="s">
        <v>389</v>
      </c>
      <c r="C490" s="0" t="s">
        <v>39</v>
      </c>
      <c r="E490" s="3" t="n">
        <v>422939</v>
      </c>
    </row>
    <row r="491" customFormat="false" ht="15" hidden="false" customHeight="false" outlineLevel="0" collapsed="false">
      <c r="A491" s="0" t="s">
        <v>392</v>
      </c>
      <c r="B491" s="0" t="s">
        <v>389</v>
      </c>
      <c r="C491" s="0" t="s">
        <v>39</v>
      </c>
      <c r="E491" s="3" t="n">
        <v>415285</v>
      </c>
    </row>
    <row r="492" customFormat="false" ht="15" hidden="false" customHeight="false" outlineLevel="0" collapsed="false">
      <c r="A492" s="0" t="s">
        <v>392</v>
      </c>
      <c r="B492" s="0" t="s">
        <v>389</v>
      </c>
      <c r="C492" s="0" t="s">
        <v>39</v>
      </c>
      <c r="E492" s="3" t="n">
        <v>141593</v>
      </c>
    </row>
    <row r="493" customFormat="false" ht="15" hidden="false" customHeight="false" outlineLevel="0" collapsed="false">
      <c r="A493" s="0" t="s">
        <v>393</v>
      </c>
      <c r="B493" s="0" t="s">
        <v>389</v>
      </c>
      <c r="C493" s="0" t="s">
        <v>39</v>
      </c>
      <c r="E493" s="3" t="n">
        <v>472156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2026-03-19T15:33:13Z</dcterms:created>
  <dc:creator>openpyxl</dc:creator>
  <dc:description/>
  <dc:language>en-US</dc:language>
  <cp:lastModifiedBy/>
  <dcterms:modified xsi:type="dcterms:W3CDTF">2026-03-19T15:33:13Z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