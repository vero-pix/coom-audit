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en_Ejecutivo" sheetId="1" state="visible" r:id="rId3"/>
    <sheet name="Libro_Ventas" sheetId="2" state="visible" r:id="rId4"/>
    <sheet name="Libro_Compras" sheetId="3" state="visible" r:id="rId5"/>
    <sheet name="EERR_2025" sheetId="4" state="visible" r:id="rId6"/>
    <sheet name="IVA_F29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<sst xmlns="http://schemas.openxmlformats.org/spreadsheetml/2006/main" count="136" uniqueCount="109">
  <si>
    <t xml:space="preserve">CUADRATURA FINANCIERA COOM 2025</t>
  </si>
  <si>
    <t xml:space="preserve">Fuente: RCV SII (Libros Compras/Ventas), Cartolas BancoEstado</t>
  </si>
  <si>
    <t xml:space="preserve">Generado: Marzo 2026</t>
  </si>
  <si>
    <t xml:space="preserve">INDICADOR</t>
  </si>
  <si>
    <t xml:space="preserve">MONTO</t>
  </si>
  <si>
    <t xml:space="preserve">OBSERVACIÓN</t>
  </si>
  <si>
    <t xml:space="preserve">Ingresos Totales</t>
  </si>
  <si>
    <t xml:space="preserve">Boletas + Facturas netas</t>
  </si>
  <si>
    <t xml:space="preserve">  - Ventas Boletas</t>
  </si>
  <si>
    <t xml:space="preserve">ventasmarcas.xlsx</t>
  </si>
  <si>
    <t xml:space="preserve">  - Ventas Facturas (neto)</t>
  </si>
  <si>
    <t xml:space="preserve">RCV Ventas SII</t>
  </si>
  <si>
    <t xml:space="preserve">Liquidaciones Totales</t>
  </si>
  <si>
    <t xml:space="preserve">RCV Compras SII</t>
  </si>
  <si>
    <t xml:space="preserve">  - Socias (Art. 17 exento)</t>
  </si>
  <si>
    <t xml:space="preserve">Ana, Fabiana, Florence</t>
  </si>
  <si>
    <t xml:space="preserve">  - Terceros (gravado)</t>
  </si>
  <si>
    <t xml:space="preserve">Casakiro, Monoco, Valeria, Endémica</t>
  </si>
  <si>
    <t xml:space="preserve">MARGEN BRUTO</t>
  </si>
  <si>
    <t xml:space="preserve">30.7%</t>
  </si>
  <si>
    <t xml:space="preserve">Gastos Operacionales</t>
  </si>
  <si>
    <t xml:space="preserve">  - Arriendo Territoria</t>
  </si>
  <si>
    <t xml:space="preserve">  - Comisiones Transbank</t>
  </si>
  <si>
    <t xml:space="preserve">  - Contabilidad Account</t>
  </si>
  <si>
    <t xml:space="preserve">  - Otros gastos</t>
  </si>
  <si>
    <t xml:space="preserve">RESULTADO OPERACIONAL</t>
  </si>
  <si>
    <t xml:space="preserve">20.0%</t>
  </si>
  <si>
    <t xml:space="preserve">IVA Débito Fiscal</t>
  </si>
  <si>
    <t xml:space="preserve">F29</t>
  </si>
  <si>
    <t xml:space="preserve">IVA Crédito Fiscal</t>
  </si>
  <si>
    <t xml:space="preserve">IVA Posición (a favor)</t>
  </si>
  <si>
    <t xml:space="preserve">Crédito acumulado</t>
  </si>
  <si>
    <t xml:space="preserve">LIBRO DE VENTAS SII 2025 - COOM</t>
  </si>
  <si>
    <t xml:space="preserve">MES</t>
  </si>
  <si>
    <t xml:space="preserve">FACTURAS NETO</t>
  </si>
  <si>
    <t xml:space="preserve">NC NETO</t>
  </si>
  <si>
    <t xml:space="preserve">NETO TOTAL</t>
  </si>
  <si>
    <t xml:space="preserve">IVA DÉBITO</t>
  </si>
  <si>
    <t xml:space="preserve">TOTAL</t>
  </si>
  <si>
    <t xml:space="preserve">LIBRO DE COMPRAS SII 2025 - COOM</t>
  </si>
  <si>
    <t xml:space="preserve">PROVEEDOR</t>
  </si>
  <si>
    <t xml:space="preserve">RUT</t>
  </si>
  <si>
    <t xml:space="preserve">TIPO</t>
  </si>
  <si>
    <t xml:space="preserve">NETO</t>
  </si>
  <si>
    <t xml:space="preserve">IVA</t>
  </si>
  <si>
    <t xml:space="preserve">Vania Ruiz (Casakiro)</t>
  </si>
  <si>
    <t xml:space="preserve">13227271-9</t>
  </si>
  <si>
    <t xml:space="preserve">TERCERO</t>
  </si>
  <si>
    <t xml:space="preserve">Mónica Pérez (Monoco)</t>
  </si>
  <si>
    <t xml:space="preserve">8197846-8</t>
  </si>
  <si>
    <t xml:space="preserve">Valeria Martínez</t>
  </si>
  <si>
    <t xml:space="preserve">8710499-0</t>
  </si>
  <si>
    <t xml:space="preserve">Magdalena Pérez (Endémica)</t>
  </si>
  <si>
    <t xml:space="preserve">8861077-6</t>
  </si>
  <si>
    <t xml:space="preserve">Ana Nadjar (Aptiqa)</t>
  </si>
  <si>
    <t xml:space="preserve">9099673-8</t>
  </si>
  <si>
    <t xml:space="preserve">SOCIA</t>
  </si>
  <si>
    <t xml:space="preserve">Fabiana Persia (Savia)</t>
  </si>
  <si>
    <t xml:space="preserve">14720138-9</t>
  </si>
  <si>
    <t xml:space="preserve">Florence Collin</t>
  </si>
  <si>
    <t xml:space="preserve">22958271-2</t>
  </si>
  <si>
    <t xml:space="preserve">Territoria Apoquindo</t>
  </si>
  <si>
    <t xml:space="preserve">76203473-5</t>
  </si>
  <si>
    <t xml:space="preserve">GASTO</t>
  </si>
  <si>
    <t xml:space="preserve">Transbank</t>
  </si>
  <si>
    <t xml:space="preserve">96689310-9</t>
  </si>
  <si>
    <t xml:space="preserve">Account SPA</t>
  </si>
  <si>
    <t xml:space="preserve">77632962-2</t>
  </si>
  <si>
    <t xml:space="preserve">Otros (Cencosud, Easy, etc)</t>
  </si>
  <si>
    <t xml:space="preserve">Varios</t>
  </si>
  <si>
    <t xml:space="preserve">RESUMEN POR TIPO</t>
  </si>
  <si>
    <t xml:space="preserve">Socias (Art. 17)</t>
  </si>
  <si>
    <t xml:space="preserve">Terceros</t>
  </si>
  <si>
    <t xml:space="preserve">Gastos</t>
  </si>
  <si>
    <t xml:space="preserve">ESTADO DE RESULTADOS COOM 2025</t>
  </si>
  <si>
    <t xml:space="preserve">CUENTA</t>
  </si>
  <si>
    <t xml:space="preserve">% INGRESOS</t>
  </si>
  <si>
    <t xml:space="preserve">INGRESOS</t>
  </si>
  <si>
    <t xml:space="preserve">  Ventas Boletas</t>
  </si>
  <si>
    <t xml:space="preserve">  Ventas Facturas (neto)</t>
  </si>
  <si>
    <t xml:space="preserve">TOTAL INGRESOS</t>
  </si>
  <si>
    <t xml:space="preserve">100.0%</t>
  </si>
  <si>
    <t xml:space="preserve">COSTOS</t>
  </si>
  <si>
    <t xml:space="preserve">  Liquidaciones Socias</t>
  </si>
  <si>
    <t xml:space="preserve">  Liquidaciones Terceros</t>
  </si>
  <si>
    <t xml:space="preserve">TOTAL COSTOS</t>
  </si>
  <si>
    <t xml:space="preserve">GASTOS OPERACIONALES</t>
  </si>
  <si>
    <t xml:space="preserve">  Arriendo Territoria</t>
  </si>
  <si>
    <t xml:space="preserve">  Comisiones Transbank</t>
  </si>
  <si>
    <t xml:space="preserve">  Contabilidad Account</t>
  </si>
  <si>
    <t xml:space="preserve">  Otros gastos</t>
  </si>
  <si>
    <t xml:space="preserve">TOTAL GASTOS</t>
  </si>
  <si>
    <t xml:space="preserve">CUADRATURA IVA / F29 COOM 2025</t>
  </si>
  <si>
    <t xml:space="preserve">IVA CRÉDITO</t>
  </si>
  <si>
    <t xml:space="preserve">POSICIÓN</t>
  </si>
  <si>
    <t xml:space="preserve">ESTADO</t>
  </si>
  <si>
    <t xml:space="preserve">Ene</t>
  </si>
  <si>
    <t xml:space="preserve">PAGADO</t>
  </si>
  <si>
    <t xml:space="preserve">Feb</t>
  </si>
  <si>
    <t xml:space="preserve">Mar</t>
  </si>
  <si>
    <t xml:space="preserve">Abr</t>
  </si>
  <si>
    <t xml:space="preserve">May</t>
  </si>
  <si>
    <t xml:space="preserve">Jun</t>
  </si>
  <si>
    <t xml:space="preserve">Jul</t>
  </si>
  <si>
    <t xml:space="preserve">Ago</t>
  </si>
  <si>
    <t xml:space="preserve">Sep</t>
  </si>
  <si>
    <t xml:space="preserve">Oct</t>
  </si>
  <si>
    <t xml:space="preserve">Nov</t>
  </si>
  <si>
    <t xml:space="preserve">Dic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</si>
</sst>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9"/>
      <name val="Cambria"/>
      <family val="0"/>
      <charset val="1"/>
    </font>
    <font>
      <i val="true"/>
      <sz val="11"/>
      <color rgb="FF666666"/>
      <name val="Cambria"/>
      <family val="0"/>
      <charset val="1"/>
    </font>
    <font>
      <b val="true"/>
      <sz val="11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6DCE4"/>
        <bgColor rgb="FFBDD7EE"/>
      </patternFill>
    </fill>
    <fill>
      <patternFill patternType="solid">
        <fgColor rgb="FFBDD7EE"/>
        <bgColor rgb="FFD6DCE4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6DCE4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5"/>
    <col collapsed="false" customWidth="true" hidden="false" outlineLevel="0" max="2" min="2" style="1" width="18"/>
    <col collapsed="false" customWidth="true" hidden="false" outlineLevel="0" max="3" min="3" style="1" width="35"/>
  </cols>
  <sheetData>
    <row r="1" customFormat="false" ht="17.2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3" customFormat="false" ht="15" hidden="false" customHeight="true" outlineLevel="0" collapsed="false">
      <c r="A3" s="1" t="s">
        <v>2</v>
      </c>
    </row>
    <row r="5" customFormat="false" ht="15" hidden="false" customHeight="true" outlineLevel="0" collapsed="false">
      <c r="A5" s="4" t="s">
        <v>3</v>
      </c>
      <c r="B5" s="4" t="s">
        <v>4</v>
      </c>
      <c r="C5" s="4" t="s">
        <v>5</v>
      </c>
    </row>
    <row r="6" customFormat="false" ht="15" hidden="false" customHeight="true" outlineLevel="0" collapsed="false">
      <c r="A6" s="1" t="s">
        <v>6</v>
      </c>
      <c r="B6" s="5" t="n">
        <v>102719135</v>
      </c>
      <c r="C6" s="1" t="s">
        <v>7</v>
      </c>
    </row>
    <row r="7" customFormat="false" ht="15" hidden="false" customHeight="true" outlineLevel="0" collapsed="false">
      <c r="A7" s="1" t="s">
        <v>8</v>
      </c>
      <c r="B7" s="5" t="n">
        <v>83906653</v>
      </c>
      <c r="C7" s="1" t="s">
        <v>9</v>
      </c>
    </row>
    <row r="8" customFormat="false" ht="15" hidden="false" customHeight="true" outlineLevel="0" collapsed="false">
      <c r="A8" s="1" t="s">
        <v>10</v>
      </c>
      <c r="B8" s="5" t="n">
        <v>18812482</v>
      </c>
      <c r="C8" s="1" t="s">
        <v>11</v>
      </c>
    </row>
    <row r="10" customFormat="false" ht="15" hidden="false" customHeight="true" outlineLevel="0" collapsed="false">
      <c r="A10" s="1" t="s">
        <v>12</v>
      </c>
      <c r="B10" s="5" t="n">
        <v>71158944</v>
      </c>
      <c r="C10" s="1" t="s">
        <v>13</v>
      </c>
    </row>
    <row r="11" customFormat="false" ht="15" hidden="false" customHeight="true" outlineLevel="0" collapsed="false">
      <c r="A11" s="1" t="s">
        <v>14</v>
      </c>
      <c r="B11" s="5" t="n">
        <v>20115327</v>
      </c>
      <c r="C11" s="1" t="s">
        <v>15</v>
      </c>
    </row>
    <row r="12" customFormat="false" ht="15" hidden="false" customHeight="true" outlineLevel="0" collapsed="false">
      <c r="A12" s="1" t="s">
        <v>16</v>
      </c>
      <c r="B12" s="5" t="n">
        <v>51043617</v>
      </c>
      <c r="C12" s="1" t="s">
        <v>17</v>
      </c>
    </row>
    <row r="14" customFormat="false" ht="15" hidden="false" customHeight="true" outlineLevel="0" collapsed="false">
      <c r="A14" s="6" t="s">
        <v>18</v>
      </c>
      <c r="B14" s="7" t="n">
        <v>31560191</v>
      </c>
      <c r="C14" s="8" t="s">
        <v>19</v>
      </c>
    </row>
    <row r="16" customFormat="false" ht="15" hidden="false" customHeight="true" outlineLevel="0" collapsed="false">
      <c r="A16" s="1" t="s">
        <v>20</v>
      </c>
      <c r="B16" s="5" t="n">
        <v>10990000</v>
      </c>
    </row>
    <row r="17" customFormat="false" ht="15" hidden="false" customHeight="true" outlineLevel="0" collapsed="false">
      <c r="A17" s="1" t="s">
        <v>21</v>
      </c>
      <c r="B17" s="5" t="n">
        <v>7840000</v>
      </c>
    </row>
    <row r="18" customFormat="false" ht="15" hidden="false" customHeight="true" outlineLevel="0" collapsed="false">
      <c r="A18" s="1" t="s">
        <v>22</v>
      </c>
      <c r="B18" s="5" t="n">
        <v>1850000</v>
      </c>
    </row>
    <row r="19" customFormat="false" ht="15" hidden="false" customHeight="true" outlineLevel="0" collapsed="false">
      <c r="A19" s="1" t="s">
        <v>23</v>
      </c>
      <c r="B19" s="5" t="n">
        <v>950000</v>
      </c>
    </row>
    <row r="20" customFormat="false" ht="15" hidden="false" customHeight="true" outlineLevel="0" collapsed="false">
      <c r="A20" s="1" t="s">
        <v>24</v>
      </c>
      <c r="B20" s="5" t="n">
        <v>350000</v>
      </c>
    </row>
    <row r="22" customFormat="false" ht="15" hidden="false" customHeight="true" outlineLevel="0" collapsed="false">
      <c r="A22" s="6" t="s">
        <v>25</v>
      </c>
      <c r="B22" s="7" t="n">
        <v>20570191</v>
      </c>
      <c r="C22" s="8" t="s">
        <v>26</v>
      </c>
    </row>
    <row r="24" customFormat="false" ht="15" hidden="false" customHeight="true" outlineLevel="0" collapsed="false">
      <c r="A24" s="1" t="s">
        <v>27</v>
      </c>
      <c r="B24" s="5" t="n">
        <v>3574375</v>
      </c>
      <c r="C24" s="1" t="s">
        <v>28</v>
      </c>
    </row>
    <row r="25" customFormat="false" ht="15" hidden="false" customHeight="true" outlineLevel="0" collapsed="false">
      <c r="A25" s="1" t="s">
        <v>29</v>
      </c>
      <c r="B25" s="5" t="n">
        <v>15608299</v>
      </c>
      <c r="C25" s="1" t="s">
        <v>28</v>
      </c>
    </row>
    <row r="26" customFormat="false" ht="15" hidden="false" customHeight="true" outlineLevel="0" collapsed="false">
      <c r="A26" s="1" t="s">
        <v>30</v>
      </c>
      <c r="B26" s="5" t="n">
        <v>-12033924</v>
      </c>
      <c r="C26" s="1" t="s">
        <v>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5" min="1" style="1" width="15"/>
  </cols>
  <sheetData>
    <row r="1" customFormat="false" ht="17.25" hidden="false" customHeight="true" outlineLevel="0" collapsed="false">
      <c r="A1" s="2" t="s">
        <v>32</v>
      </c>
    </row>
    <row r="3" customFormat="false" ht="15" hidden="false" customHeight="true" outlineLevel="0" collapsed="false">
      <c r="A3" s="4" t="s">
        <v>33</v>
      </c>
      <c r="B3" s="4" t="s">
        <v>34</v>
      </c>
      <c r="C3" s="4" t="s">
        <v>35</v>
      </c>
      <c r="D3" s="4" t="s">
        <v>36</v>
      </c>
      <c r="E3" s="4" t="s">
        <v>37</v>
      </c>
    </row>
    <row r="4" customFormat="false" ht="15" hidden="false" customHeight="true" outlineLevel="0" collapsed="false">
      <c r="A4" s="1" t="n">
        <v>1</v>
      </c>
      <c r="B4" s="5" t="n">
        <v>73796</v>
      </c>
      <c r="C4" s="5" t="n">
        <v>0</v>
      </c>
      <c r="D4" s="5" t="n">
        <v>73796</v>
      </c>
      <c r="E4" s="5" t="n">
        <v>14021</v>
      </c>
    </row>
    <row r="5" customFormat="false" ht="15" hidden="false" customHeight="true" outlineLevel="0" collapsed="false">
      <c r="A5" s="1" t="n">
        <v>2</v>
      </c>
      <c r="B5" s="5" t="n">
        <v>1400682</v>
      </c>
      <c r="C5" s="5" t="n">
        <v>0</v>
      </c>
      <c r="D5" s="5" t="n">
        <v>1400682</v>
      </c>
      <c r="E5" s="5" t="n">
        <v>266129</v>
      </c>
    </row>
    <row r="6" customFormat="false" ht="15" hidden="false" customHeight="true" outlineLevel="0" collapsed="false">
      <c r="A6" s="1" t="n">
        <v>3</v>
      </c>
      <c r="B6" s="5" t="n">
        <v>1612605</v>
      </c>
      <c r="C6" s="5" t="n">
        <v>0</v>
      </c>
      <c r="D6" s="5" t="n">
        <v>1612605</v>
      </c>
      <c r="E6" s="5" t="n">
        <v>306394</v>
      </c>
    </row>
    <row r="7" customFormat="false" ht="15" hidden="false" customHeight="true" outlineLevel="0" collapsed="false">
      <c r="A7" s="1" t="n">
        <v>4</v>
      </c>
      <c r="B7" s="5" t="n">
        <v>2346284</v>
      </c>
      <c r="C7" s="5" t="n">
        <v>-814908</v>
      </c>
      <c r="D7" s="5" t="n">
        <v>1531376</v>
      </c>
      <c r="E7" s="5" t="n">
        <v>290962</v>
      </c>
    </row>
    <row r="8" customFormat="false" ht="15" hidden="false" customHeight="true" outlineLevel="0" collapsed="false">
      <c r="A8" s="1" t="n">
        <v>5</v>
      </c>
      <c r="B8" s="5" t="n">
        <v>1449541</v>
      </c>
      <c r="C8" s="5" t="n">
        <v>0</v>
      </c>
      <c r="D8" s="5" t="n">
        <v>1449541</v>
      </c>
      <c r="E8" s="5" t="n">
        <v>275414</v>
      </c>
    </row>
    <row r="9" customFormat="false" ht="15" hidden="false" customHeight="true" outlineLevel="0" collapsed="false">
      <c r="A9" s="1" t="n">
        <v>6</v>
      </c>
      <c r="B9" s="5" t="n">
        <v>1576339</v>
      </c>
      <c r="C9" s="5" t="n">
        <v>0</v>
      </c>
      <c r="D9" s="5" t="n">
        <v>1576339</v>
      </c>
      <c r="E9" s="5" t="n">
        <v>299504</v>
      </c>
    </row>
    <row r="10" customFormat="false" ht="15" hidden="false" customHeight="true" outlineLevel="0" collapsed="false">
      <c r="A10" s="1" t="n">
        <v>7</v>
      </c>
      <c r="B10" s="5" t="n">
        <v>1387528</v>
      </c>
      <c r="C10" s="5" t="n">
        <v>0</v>
      </c>
      <c r="D10" s="5" t="n">
        <v>1387528</v>
      </c>
      <c r="E10" s="5" t="n">
        <v>263630</v>
      </c>
    </row>
    <row r="11" customFormat="false" ht="15" hidden="false" customHeight="true" outlineLevel="0" collapsed="false">
      <c r="A11" s="1" t="n">
        <v>8</v>
      </c>
      <c r="B11" s="5" t="n">
        <v>1485424</v>
      </c>
      <c r="C11" s="5" t="n">
        <v>0</v>
      </c>
      <c r="D11" s="5" t="n">
        <v>1485424</v>
      </c>
      <c r="E11" s="5" t="n">
        <v>282231</v>
      </c>
    </row>
    <row r="12" customFormat="false" ht="15" hidden="false" customHeight="true" outlineLevel="0" collapsed="false">
      <c r="A12" s="1" t="n">
        <v>9</v>
      </c>
      <c r="B12" s="5" t="n">
        <v>1595410</v>
      </c>
      <c r="C12" s="5" t="n">
        <v>0</v>
      </c>
      <c r="D12" s="5" t="n">
        <v>1595410</v>
      </c>
      <c r="E12" s="5" t="n">
        <v>303129</v>
      </c>
    </row>
    <row r="13" customFormat="false" ht="15" hidden="false" customHeight="true" outlineLevel="0" collapsed="false">
      <c r="A13" s="1" t="n">
        <v>10</v>
      </c>
      <c r="B13" s="5" t="n">
        <v>1586341</v>
      </c>
      <c r="C13" s="5" t="n">
        <v>0</v>
      </c>
      <c r="D13" s="5" t="n">
        <v>1586341</v>
      </c>
      <c r="E13" s="5" t="n">
        <v>301405</v>
      </c>
    </row>
    <row r="14" customFormat="false" ht="15" hidden="false" customHeight="true" outlineLevel="0" collapsed="false">
      <c r="A14" s="1" t="n">
        <v>11</v>
      </c>
      <c r="B14" s="5" t="n">
        <v>4485807</v>
      </c>
      <c r="C14" s="5" t="n">
        <v>-2490344</v>
      </c>
      <c r="D14" s="5" t="n">
        <v>1995463</v>
      </c>
      <c r="E14" s="5" t="n">
        <v>379140</v>
      </c>
    </row>
    <row r="15" customFormat="false" ht="15" hidden="false" customHeight="true" outlineLevel="0" collapsed="false">
      <c r="A15" s="1" t="n">
        <v>12</v>
      </c>
      <c r="B15" s="5" t="n">
        <v>4155754</v>
      </c>
      <c r="C15" s="5" t="n">
        <v>-1037777</v>
      </c>
      <c r="D15" s="5" t="n">
        <v>3117977</v>
      </c>
      <c r="E15" s="5" t="n">
        <v>592416</v>
      </c>
    </row>
    <row r="16" customFormat="false" ht="15" hidden="false" customHeight="true" outlineLevel="0" collapsed="false">
      <c r="A16" s="6" t="s">
        <v>38</v>
      </c>
      <c r="B16" s="7" t="n">
        <f aca="false">SUM(B4:B15)</f>
        <v>23155511</v>
      </c>
      <c r="C16" s="7" t="n">
        <f aca="false">SUM(C4:C15)</f>
        <v>-4343029</v>
      </c>
      <c r="D16" s="7" t="n">
        <f aca="false">SUM(D4:D15)</f>
        <v>18812482</v>
      </c>
      <c r="E16" s="7" t="n">
        <f aca="false">SUM(E4:E15)</f>
        <v>3574375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5" min="2" style="1" width="15"/>
  </cols>
  <sheetData>
    <row r="1" customFormat="false" ht="17.25" hidden="false" customHeight="true" outlineLevel="0" collapsed="false">
      <c r="A1" s="2" t="s">
        <v>39</v>
      </c>
    </row>
    <row r="3" customFormat="false" ht="15" hidden="false" customHeight="true" outlineLevel="0" collapsed="false">
      <c r="A3" s="4" t="s">
        <v>40</v>
      </c>
      <c r="B3" s="4" t="s">
        <v>41</v>
      </c>
      <c r="C3" s="4" t="s">
        <v>42</v>
      </c>
      <c r="D3" s="4" t="s">
        <v>43</v>
      </c>
      <c r="E3" s="4" t="s">
        <v>44</v>
      </c>
    </row>
    <row r="4" customFormat="false" ht="15" hidden="false" customHeight="true" outlineLevel="0" collapsed="false">
      <c r="A4" s="1" t="s">
        <v>45</v>
      </c>
      <c r="B4" s="1" t="s">
        <v>46</v>
      </c>
      <c r="C4" s="1" t="s">
        <v>47</v>
      </c>
      <c r="D4" s="5" t="n">
        <v>18738301</v>
      </c>
      <c r="E4" s="5" t="n">
        <v>3560277</v>
      </c>
    </row>
    <row r="5" customFormat="false" ht="15" hidden="false" customHeight="true" outlineLevel="0" collapsed="false">
      <c r="A5" s="1" t="s">
        <v>48</v>
      </c>
      <c r="B5" s="1" t="s">
        <v>49</v>
      </c>
      <c r="C5" s="1" t="s">
        <v>47</v>
      </c>
      <c r="D5" s="5" t="n">
        <v>12092226</v>
      </c>
      <c r="E5" s="5" t="n">
        <v>2297523</v>
      </c>
    </row>
    <row r="6" customFormat="false" ht="15" hidden="false" customHeight="true" outlineLevel="0" collapsed="false">
      <c r="A6" s="1" t="s">
        <v>50</v>
      </c>
      <c r="B6" s="1" t="s">
        <v>51</v>
      </c>
      <c r="C6" s="1" t="s">
        <v>47</v>
      </c>
      <c r="D6" s="5" t="n">
        <v>11588657</v>
      </c>
      <c r="E6" s="5" t="n">
        <v>2201845</v>
      </c>
    </row>
    <row r="7" customFormat="false" ht="15" hidden="false" customHeight="true" outlineLevel="0" collapsed="false">
      <c r="A7" s="1" t="s">
        <v>52</v>
      </c>
      <c r="B7" s="1" t="s">
        <v>53</v>
      </c>
      <c r="C7" s="1" t="s">
        <v>47</v>
      </c>
      <c r="D7" s="5" t="n">
        <v>8624433</v>
      </c>
      <c r="E7" s="5" t="n">
        <v>1638642</v>
      </c>
    </row>
    <row r="8" customFormat="false" ht="15" hidden="false" customHeight="true" outlineLevel="0" collapsed="false">
      <c r="A8" s="1" t="s">
        <v>54</v>
      </c>
      <c r="B8" s="1" t="s">
        <v>55</v>
      </c>
      <c r="C8" s="1" t="s">
        <v>56</v>
      </c>
      <c r="D8" s="5" t="n">
        <v>8127892</v>
      </c>
      <c r="E8" s="5" t="n">
        <v>1544299</v>
      </c>
    </row>
    <row r="9" customFormat="false" ht="15" hidden="false" customHeight="true" outlineLevel="0" collapsed="false">
      <c r="A9" s="1" t="s">
        <v>57</v>
      </c>
      <c r="B9" s="1" t="s">
        <v>58</v>
      </c>
      <c r="C9" s="1" t="s">
        <v>56</v>
      </c>
      <c r="D9" s="5" t="n">
        <v>7886347</v>
      </c>
      <c r="E9" s="5" t="n">
        <v>1498406</v>
      </c>
    </row>
    <row r="10" customFormat="false" ht="15" hidden="false" customHeight="true" outlineLevel="0" collapsed="false">
      <c r="A10" s="1" t="s">
        <v>59</v>
      </c>
      <c r="B10" s="1" t="s">
        <v>60</v>
      </c>
      <c r="C10" s="1" t="s">
        <v>56</v>
      </c>
      <c r="D10" s="5" t="n">
        <v>4101088</v>
      </c>
      <c r="E10" s="5" t="n">
        <v>779207</v>
      </c>
    </row>
    <row r="11" customFormat="false" ht="15" hidden="false" customHeight="true" outlineLevel="0" collapsed="false">
      <c r="A11" s="1" t="s">
        <v>61</v>
      </c>
      <c r="B11" s="1" t="s">
        <v>62</v>
      </c>
      <c r="C11" s="1" t="s">
        <v>63</v>
      </c>
      <c r="D11" s="5" t="n">
        <v>7840000</v>
      </c>
      <c r="E11" s="5" t="n">
        <v>1489600</v>
      </c>
    </row>
    <row r="12" customFormat="false" ht="15" hidden="false" customHeight="true" outlineLevel="0" collapsed="false">
      <c r="A12" s="1" t="s">
        <v>64</v>
      </c>
      <c r="B12" s="1" t="s">
        <v>65</v>
      </c>
      <c r="C12" s="1" t="s">
        <v>63</v>
      </c>
      <c r="D12" s="5" t="n">
        <v>1850000</v>
      </c>
      <c r="E12" s="5" t="n">
        <v>351500</v>
      </c>
    </row>
    <row r="13" customFormat="false" ht="15" hidden="false" customHeight="true" outlineLevel="0" collapsed="false">
      <c r="A13" s="1" t="s">
        <v>66</v>
      </c>
      <c r="B13" s="1" t="s">
        <v>67</v>
      </c>
      <c r="C13" s="1" t="s">
        <v>63</v>
      </c>
      <c r="D13" s="5" t="n">
        <v>950000</v>
      </c>
      <c r="E13" s="5" t="n">
        <v>180500</v>
      </c>
    </row>
    <row r="14" customFormat="false" ht="15" hidden="false" customHeight="true" outlineLevel="0" collapsed="false">
      <c r="A14" s="1" t="s">
        <v>68</v>
      </c>
      <c r="B14" s="1" t="s">
        <v>69</v>
      </c>
      <c r="C14" s="1" t="s">
        <v>63</v>
      </c>
      <c r="D14" s="5" t="n">
        <v>350000</v>
      </c>
      <c r="E14" s="5" t="n">
        <v>66500</v>
      </c>
    </row>
    <row r="15" customFormat="false" ht="15" hidden="false" customHeight="true" outlineLevel="0" collapsed="false">
      <c r="A15" s="6" t="s">
        <v>38</v>
      </c>
      <c r="B15" s="6"/>
      <c r="C15" s="6"/>
      <c r="D15" s="7" t="n">
        <f aca="false">SUM(D4:D14)</f>
        <v>82148944</v>
      </c>
      <c r="E15" s="7" t="n">
        <f aca="false">SUM(E4:E14)</f>
        <v>15608299</v>
      </c>
    </row>
    <row r="18" customFormat="false" ht="15" hidden="false" customHeight="true" outlineLevel="0" collapsed="false">
      <c r="A18" s="9" t="s">
        <v>70</v>
      </c>
    </row>
    <row r="19" customFormat="false" ht="15" hidden="false" customHeight="true" outlineLevel="0" collapsed="false">
      <c r="A19" s="1" t="s">
        <v>71</v>
      </c>
      <c r="B19" s="5" t="n">
        <f aca="false">SUMIF(C4:C14,"SOCIA",D4:D14)</f>
        <v>20115327</v>
      </c>
    </row>
    <row r="20" customFormat="false" ht="15" hidden="false" customHeight="true" outlineLevel="0" collapsed="false">
      <c r="A20" s="1" t="s">
        <v>72</v>
      </c>
      <c r="B20" s="5" t="n">
        <f aca="false">SUMIF(C4:C14,"TERCERO",D4:D14)</f>
        <v>51043617</v>
      </c>
    </row>
    <row r="21" customFormat="false" ht="15" hidden="false" customHeight="true" outlineLevel="0" collapsed="false">
      <c r="A21" s="1" t="s">
        <v>73</v>
      </c>
      <c r="B21" s="5" t="n">
        <f aca="false">SUMIF(C4:C14,"GASTO",D4:D14)</f>
        <v>10990000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18"/>
    <col collapsed="false" customWidth="true" hidden="false" outlineLevel="0" max="3" min="3" style="1" width="15"/>
  </cols>
  <sheetData>
    <row r="1" customFormat="false" ht="17.25" hidden="false" customHeight="true" outlineLevel="0" collapsed="false">
      <c r="A1" s="2" t="s">
        <v>74</v>
      </c>
    </row>
    <row r="3" customFormat="false" ht="15" hidden="false" customHeight="true" outlineLevel="0" collapsed="false">
      <c r="A3" s="4" t="s">
        <v>75</v>
      </c>
      <c r="B3" s="4" t="s">
        <v>4</v>
      </c>
      <c r="C3" s="4" t="s">
        <v>76</v>
      </c>
    </row>
    <row r="4" customFormat="false" ht="15" hidden="false" customHeight="true" outlineLevel="0" collapsed="false">
      <c r="A4" s="1" t="s">
        <v>77</v>
      </c>
      <c r="B4" s="5"/>
    </row>
    <row r="5" customFormat="false" ht="15" hidden="false" customHeight="true" outlineLevel="0" collapsed="false">
      <c r="A5" s="1" t="s">
        <v>78</v>
      </c>
      <c r="B5" s="5" t="n">
        <v>83906653</v>
      </c>
    </row>
    <row r="6" customFormat="false" ht="15" hidden="false" customHeight="true" outlineLevel="0" collapsed="false">
      <c r="A6" s="1" t="s">
        <v>79</v>
      </c>
      <c r="B6" s="5" t="n">
        <v>18812482</v>
      </c>
    </row>
    <row r="7" customFormat="false" ht="15" hidden="false" customHeight="true" outlineLevel="0" collapsed="false">
      <c r="A7" s="6" t="s">
        <v>80</v>
      </c>
      <c r="B7" s="7" t="n">
        <f aca="false">B5+B6</f>
        <v>102719135</v>
      </c>
      <c r="C7" s="8" t="s">
        <v>81</v>
      </c>
    </row>
    <row r="8" customFormat="false" ht="15" hidden="false" customHeight="true" outlineLevel="0" collapsed="false">
      <c r="B8" s="5"/>
    </row>
    <row r="9" customFormat="false" ht="15" hidden="false" customHeight="true" outlineLevel="0" collapsed="false">
      <c r="A9" s="1" t="s">
        <v>82</v>
      </c>
      <c r="B9" s="5"/>
    </row>
    <row r="10" customFormat="false" ht="15" hidden="false" customHeight="true" outlineLevel="0" collapsed="false">
      <c r="A10" s="1" t="s">
        <v>83</v>
      </c>
      <c r="B10" s="5" t="n">
        <v>20115327</v>
      </c>
    </row>
    <row r="11" customFormat="false" ht="15" hidden="false" customHeight="true" outlineLevel="0" collapsed="false">
      <c r="A11" s="1" t="s">
        <v>84</v>
      </c>
      <c r="B11" s="5" t="n">
        <v>51043617</v>
      </c>
    </row>
    <row r="12" customFormat="false" ht="15" hidden="false" customHeight="true" outlineLevel="0" collapsed="false">
      <c r="A12" s="6" t="s">
        <v>85</v>
      </c>
      <c r="B12" s="7" t="n">
        <f aca="false">B10+B11</f>
        <v>71158944</v>
      </c>
      <c r="C12" s="8"/>
    </row>
    <row r="13" customFormat="false" ht="15" hidden="false" customHeight="true" outlineLevel="0" collapsed="false">
      <c r="B13" s="5"/>
    </row>
    <row r="14" customFormat="false" ht="15" hidden="false" customHeight="true" outlineLevel="0" collapsed="false">
      <c r="A14" s="6" t="s">
        <v>18</v>
      </c>
      <c r="B14" s="7" t="n">
        <f aca="false">B7-B12</f>
        <v>31560191</v>
      </c>
      <c r="C14" s="8"/>
    </row>
    <row r="15" customFormat="false" ht="15" hidden="false" customHeight="true" outlineLevel="0" collapsed="false">
      <c r="B15" s="5"/>
    </row>
    <row r="16" customFormat="false" ht="15" hidden="false" customHeight="true" outlineLevel="0" collapsed="false">
      <c r="A16" s="1" t="s">
        <v>86</v>
      </c>
      <c r="B16" s="5"/>
    </row>
    <row r="17" customFormat="false" ht="15" hidden="false" customHeight="true" outlineLevel="0" collapsed="false">
      <c r="A17" s="1" t="s">
        <v>87</v>
      </c>
      <c r="B17" s="5" t="n">
        <v>7840000</v>
      </c>
    </row>
    <row r="18" customFormat="false" ht="15" hidden="false" customHeight="true" outlineLevel="0" collapsed="false">
      <c r="A18" s="1" t="s">
        <v>88</v>
      </c>
      <c r="B18" s="5" t="n">
        <v>1850000</v>
      </c>
    </row>
    <row r="19" customFormat="false" ht="15" hidden="false" customHeight="true" outlineLevel="0" collapsed="false">
      <c r="A19" s="1" t="s">
        <v>89</v>
      </c>
      <c r="B19" s="5" t="n">
        <v>950000</v>
      </c>
    </row>
    <row r="20" customFormat="false" ht="15" hidden="false" customHeight="true" outlineLevel="0" collapsed="false">
      <c r="A20" s="1" t="s">
        <v>90</v>
      </c>
      <c r="B20" s="5" t="n">
        <v>350000</v>
      </c>
    </row>
    <row r="21" customFormat="false" ht="15" hidden="false" customHeight="true" outlineLevel="0" collapsed="false">
      <c r="A21" s="6" t="s">
        <v>91</v>
      </c>
      <c r="B21" s="7" t="n">
        <f aca="false">B17+B18+B19+B20</f>
        <v>10990000</v>
      </c>
      <c r="C21" s="8"/>
    </row>
    <row r="22" customFormat="false" ht="15" hidden="false" customHeight="true" outlineLevel="0" collapsed="false">
      <c r="B22" s="5"/>
    </row>
    <row r="23" customFormat="false" ht="15" hidden="false" customHeight="true" outlineLevel="0" collapsed="false">
      <c r="A23" s="6" t="s">
        <v>25</v>
      </c>
      <c r="B23" s="7" t="n">
        <f aca="false">B14-B21</f>
        <v>20570191</v>
      </c>
      <c r="C23" s="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5" min="1" style="1" width="15"/>
  </cols>
  <sheetData>
    <row r="1" customFormat="false" ht="17.25" hidden="false" customHeight="true" outlineLevel="0" collapsed="false">
      <c r="A1" s="2" t="s">
        <v>92</v>
      </c>
    </row>
    <row r="3" customFormat="false" ht="15" hidden="false" customHeight="true" outlineLevel="0" collapsed="false">
      <c r="A3" s="4" t="s">
        <v>33</v>
      </c>
      <c r="B3" s="4" t="s">
        <v>37</v>
      </c>
      <c r="C3" s="4" t="s">
        <v>93</v>
      </c>
      <c r="D3" s="4" t="s">
        <v>94</v>
      </c>
      <c r="E3" s="4" t="s">
        <v>95</v>
      </c>
    </row>
    <row r="4" customFormat="false" ht="15" hidden="false" customHeight="true" outlineLevel="0" collapsed="false">
      <c r="A4" s="1" t="s">
        <v>96</v>
      </c>
      <c r="B4" s="5" t="n">
        <v>14021</v>
      </c>
      <c r="C4" s="5" t="n">
        <v>589465</v>
      </c>
      <c r="D4" s="5" t="n">
        <v>-575444</v>
      </c>
      <c r="E4" s="1" t="s">
        <v>97</v>
      </c>
    </row>
    <row r="5" customFormat="false" ht="15" hidden="false" customHeight="true" outlineLevel="0" collapsed="false">
      <c r="A5" s="1" t="s">
        <v>98</v>
      </c>
      <c r="B5" s="5" t="n">
        <v>266129</v>
      </c>
      <c r="C5" s="5" t="n">
        <v>874850</v>
      </c>
      <c r="D5" s="5" t="n">
        <v>-608721</v>
      </c>
      <c r="E5" s="1" t="s">
        <v>97</v>
      </c>
    </row>
    <row r="6" customFormat="false" ht="15" hidden="false" customHeight="true" outlineLevel="0" collapsed="false">
      <c r="A6" s="1" t="s">
        <v>99</v>
      </c>
      <c r="B6" s="5" t="n">
        <v>306394</v>
      </c>
      <c r="C6" s="5" t="n">
        <v>1196542</v>
      </c>
      <c r="D6" s="5" t="n">
        <v>-890148</v>
      </c>
      <c r="E6" s="1" t="s">
        <v>97</v>
      </c>
    </row>
    <row r="7" customFormat="false" ht="15" hidden="false" customHeight="true" outlineLevel="0" collapsed="false">
      <c r="A7" s="1" t="s">
        <v>100</v>
      </c>
      <c r="B7" s="5" t="n">
        <v>290962</v>
      </c>
      <c r="C7" s="5" t="n">
        <v>1370501</v>
      </c>
      <c r="D7" s="5" t="n">
        <v>-1079539</v>
      </c>
      <c r="E7" s="1" t="s">
        <v>97</v>
      </c>
    </row>
    <row r="8" customFormat="false" ht="15" hidden="false" customHeight="true" outlineLevel="0" collapsed="false">
      <c r="A8" s="1" t="s">
        <v>101</v>
      </c>
      <c r="B8" s="5" t="n">
        <v>275414</v>
      </c>
      <c r="C8" s="5" t="n">
        <v>1277823</v>
      </c>
      <c r="D8" s="5" t="n">
        <v>-1002409</v>
      </c>
      <c r="E8" s="1" t="s">
        <v>97</v>
      </c>
    </row>
    <row r="9" customFormat="false" ht="15" hidden="false" customHeight="true" outlineLevel="0" collapsed="false">
      <c r="A9" s="1" t="s">
        <v>102</v>
      </c>
      <c r="B9" s="5" t="n">
        <v>299504</v>
      </c>
      <c r="C9" s="5" t="n">
        <v>1318579</v>
      </c>
      <c r="D9" s="5" t="n">
        <v>-1019075</v>
      </c>
      <c r="E9" s="1" t="s">
        <v>97</v>
      </c>
    </row>
    <row r="10" customFormat="false" ht="15" hidden="false" customHeight="true" outlineLevel="0" collapsed="false">
      <c r="A10" s="1" t="s">
        <v>103</v>
      </c>
      <c r="B10" s="5" t="n">
        <v>263630</v>
      </c>
      <c r="C10" s="5" t="n">
        <v>1094118</v>
      </c>
      <c r="D10" s="5" t="n">
        <v>-830488</v>
      </c>
      <c r="E10" s="1" t="s">
        <v>97</v>
      </c>
    </row>
    <row r="11" customFormat="false" ht="15" hidden="false" customHeight="true" outlineLevel="0" collapsed="false">
      <c r="A11" s="1" t="s">
        <v>104</v>
      </c>
      <c r="B11" s="5" t="n">
        <v>282231</v>
      </c>
      <c r="C11" s="5" t="n">
        <v>1271955</v>
      </c>
      <c r="D11" s="5" t="n">
        <v>-989724</v>
      </c>
      <c r="E11" s="1" t="s">
        <v>97</v>
      </c>
    </row>
    <row r="12" customFormat="false" ht="15" hidden="false" customHeight="true" outlineLevel="0" collapsed="false">
      <c r="A12" s="1" t="s">
        <v>105</v>
      </c>
      <c r="B12" s="5" t="n">
        <v>303129</v>
      </c>
      <c r="C12" s="5" t="n">
        <v>1508375</v>
      </c>
      <c r="D12" s="5" t="n">
        <v>-1205246</v>
      </c>
      <c r="E12" s="1" t="s">
        <v>97</v>
      </c>
    </row>
    <row r="13" customFormat="false" ht="15" hidden="false" customHeight="true" outlineLevel="0" collapsed="false">
      <c r="A13" s="1" t="s">
        <v>106</v>
      </c>
      <c r="B13" s="5" t="n">
        <v>301405</v>
      </c>
      <c r="C13" s="5" t="n">
        <v>1299314</v>
      </c>
      <c r="D13" s="5" t="n">
        <v>-997909</v>
      </c>
      <c r="E13" s="1" t="s">
        <v>97</v>
      </c>
    </row>
    <row r="14" customFormat="false" ht="15" hidden="false" customHeight="true" outlineLevel="0" collapsed="false">
      <c r="A14" s="1" t="s">
        <v>107</v>
      </c>
      <c r="B14" s="5" t="n">
        <v>379140</v>
      </c>
      <c r="C14" s="5" t="n">
        <v>1075869</v>
      </c>
      <c r="D14" s="5" t="n">
        <v>-696729</v>
      </c>
      <c r="E14" s="1" t="s">
        <v>97</v>
      </c>
    </row>
    <row r="15" customFormat="false" ht="15" hidden="false" customHeight="true" outlineLevel="0" collapsed="false">
      <c r="A15" s="1" t="s">
        <v>108</v>
      </c>
      <c r="B15" s="5" t="n">
        <v>592416</v>
      </c>
      <c r="C15" s="5" t="n">
        <v>2730908</v>
      </c>
      <c r="D15" s="5" t="n">
        <v>-2138492</v>
      </c>
      <c r="E15" s="1" t="s">
        <v>97</v>
      </c>
    </row>
    <row r="16" customFormat="false" ht="15" hidden="false" customHeight="true" outlineLevel="0" collapsed="false">
      <c r="A16" s="6" t="s">
        <v>38</v>
      </c>
      <c r="B16" s="7" t="n">
        <f aca="false">SUM(B4:B15)</f>
        <v>3574375</v>
      </c>
      <c r="C16" s="7" t="n">
        <f aca="false">SUM(C4:C15)</f>
        <v>15608299</v>
      </c>
      <c r="D16" s="7" t="n">
        <f aca="false">SUM(D4:D15)</f>
        <v>-12033924</v>
      </c>
      <c r="E16" s="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2026-03-19T15:19:49Z</dcterms:created>
  <dc:creator>openpyxl</dc:creator>
  <dc:description/>
  <dc:language>en-US</dc:language>
  <cp:lastModifiedBy/>
  <dcterms:modified xsi:type="dcterms:W3CDTF">2026-03-19T15:20:43Z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